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ECF9F9EB-5B3B-4085-9DD0-48AA0A633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81029"/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<sst xmlns="http://schemas.openxmlformats.org/spreadsheetml/2006/main" count="96" uniqueCount="80">
  <si>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</si>
  <si>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</si>
  <si>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</si>
  <si>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</si>
  <si>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</si>
  <si>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</si>
  <si>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</si>
  <si>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</si>
  <si>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</si>
  <si>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</si>
  <si>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</si>
  <si>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</si>
  <si>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</si>
  <si>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</si>
  <si>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</si>
  <si>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La gestión manual de pedidos genera demoras y errores.</t>
  </si>
  <si>
    <t>Permitir a los clientes realizar pedidos en línea.</t>
  </si>
  <si>
    <t>Automatizar el proceso de ventas del producto MPG-CAPS.</t>
  </si>
  <si>
    <t>Cliente</t>
  </si>
  <si>
    <t>Registrar datos del cliente y generar pedidos automáticos desde la plataforma web.</t>
  </si>
  <si>
    <t>Anthony Guaycha</t>
  </si>
  <si>
    <t>Alta</t>
  </si>
  <si>
    <t>Pendiente</t>
  </si>
  <si>
    <t>Verificar que el pedido quede registrado correctamente en la base de datos.</t>
  </si>
  <si>
    <t>Se debe validar información obligatoria.</t>
  </si>
  <si>
    <t>Registro de pedidos en línea</t>
  </si>
  <si>
    <t>REQ002</t>
  </si>
  <si>
    <t>No existe control eficiente del inventario.</t>
  </si>
  <si>
    <t>Actualizar automáticamente el stock disponible.</t>
  </si>
  <si>
    <t>Evitar pérdidas por descontrol de inventario.</t>
  </si>
  <si>
    <t>Administrador</t>
  </si>
  <si>
    <t>Desarrollar módulo de inventario con actualización en tiempo real.</t>
  </si>
  <si>
    <t>Santiago Chafla</t>
  </si>
  <si>
    <t>Comprobar que el stock disminuya después de cada venta.</t>
  </si>
  <si>
    <t>Debe mostrar alertas de bajo inventario.</t>
  </si>
  <si>
    <t>Gestión automática de inventario</t>
  </si>
  <si>
    <t>REQ003</t>
  </si>
  <si>
    <t>Visualizar productos desde una plataforma web.</t>
  </si>
  <si>
    <t>Facilitar compras accesibles 24/7.</t>
  </si>
  <si>
    <t>Diseñar interfaz intuitiva para visualizar información del producto MPG-CAPS.</t>
  </si>
  <si>
    <t>Janine Cayo</t>
  </si>
  <si>
    <t>Media</t>
  </si>
  <si>
    <t>Validar navegación y visualización correcta del catálogo.</t>
  </si>
  <si>
    <t>Interfaz adaptable a dispositivos móviles.</t>
  </si>
  <si>
    <t>Visualización de productos</t>
  </si>
  <si>
    <t>REQ004</t>
  </si>
  <si>
    <t>Edmir Madrid</t>
  </si>
  <si>
    <t>REQ005</t>
  </si>
  <si>
    <t>El negocio no tiene disponibilidad permanente.</t>
  </si>
  <si>
    <t>Mantener el sistema disponible 24/7.</t>
  </si>
  <si>
    <t>Incrementar el alcance comercial del negocio.</t>
  </si>
  <si>
    <t>EcoWeb Quantum</t>
  </si>
  <si>
    <t>Configurar despliegue web y pruebas de disponibilidad continua.</t>
  </si>
  <si>
    <t>Comprobar acceso al sistema en cualquier horario.</t>
  </si>
  <si>
    <t>Implementar respaldo de información.</t>
  </si>
  <si>
    <t>Disponibilidad continua del sistema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</si>
  <si>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</si>
  <si>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</si>
  <si>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</si>
  <si>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</si>
  <si>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</si>
  <si>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</si>
  <si>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</si>
  <si>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</si>
  <si>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</si>
  <si>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</si>
  <si>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</si>
  <si>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</si>
  <si>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</si>
  <si>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</si>
  <si>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</si>
  <si>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Los clientes buscan facilitar sus compras.</t>
  </si>
  <si>
    <t>Como cliente, quiero procesar el pago de mi pedido para completar la transacción.</t>
  </si>
  <si>
    <t>No existe control organizado de clientes.</t>
  </si>
  <si>
    <t>Administrar clientes mediante un CRUD.</t>
  </si>
  <si>
    <t>Mantener historial y facilitar seguimiento de compradores.</t>
  </si>
  <si>
    <t>Gestión de clientes.</t>
  </si>
  <si>
    <t>Implementar módulo administrativo para registrar, consultar, actualizar y eliminar información de clientes.</t>
  </si>
  <si>
    <t>Verificar que el administrador pueda crear, consultar, modificar y eliminar registros de clientes correctamente.</t>
  </si>
  <si>
    <t>El módulo debe garantizar seguridad y correcta validación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</si>
</sst>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5"/>
  </cellStyleXfs>
  <cellXfs count="72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5" xfId="0" applyFont="1" applyFill="1" applyAlignment="1">
      <alignment vertical="center"/>
    </xf>
    <xf numFmtId="0" fontId="2" fillId="3" borderId="5" xfId="0" applyFont="1" applyFill="1"/>
    <xf numFmtId="0" fontId="12" fillId="5" borderId="2" xfId="0" applyFont="1" applyFill="1" applyBorder="1" applyAlignment="1">
      <alignment horizontal="center" vertical="center"/>
    </xf>
    <xf numFmtId="0" fontId="1" fillId="3" borderId="5" xfId="0" applyFont="1" applyFill="1" applyAlignment="1">
      <alignment vertical="center" wrapText="1"/>
    </xf>
    <xf numFmtId="0" fontId="1" fillId="3" borderId="5" xfId="0" applyFont="1" applyFill="1" applyAlignment="1">
      <alignment vertical="center"/>
    </xf>
    <xf numFmtId="0" fontId="12" fillId="3" borderId="5" xfId="0" applyFont="1" applyFill="1" applyAlignment="1">
      <alignment horizontal="center" vertical="center"/>
    </xf>
    <xf numFmtId="0" fontId="1" fillId="3" borderId="5" xfId="0" applyFont="1" applyFill="1" applyAlignment="1">
      <alignment horizontal="center" vertical="center"/>
    </xf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6" xfId="0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0" borderId="5" xfId="0"/>
    <xf numFmtId="0" fontId="5" fillId="0" borderId="5" xfId="0" applyFont="1" applyAlignment="1">
      <alignment vertical="center"/>
    </xf>
    <xf numFmtId="0" fontId="5" fillId="0" borderId="5" xfId="0" applyFont="1" applyAlignment="1">
      <alignment vertical="center" wrapText="1"/>
    </xf>
    <xf numFmtId="0" fontId="5" fillId="0" borderId="5" xfId="0" applyFont="1" applyAlignment="1">
      <alignment horizontal="center" vertical="center" wrapText="1"/>
    </xf>
    <xf numFmtId="164" fontId="5" fillId="0" borderId="5" xfId="0" applyNumberFormat="1" applyFont="1" applyAlignment="1">
      <alignment horizontal="center" vertical="center" wrapText="1"/>
    </xf>
    <xf numFmtId="0" fontId="1" fillId="0" borderId="5" xfId="0" applyFont="1" applyAlignment="1">
      <alignment horizontal="center" vertical="center" wrapText="1"/>
    </xf>
    <xf numFmtId="0" fontId="6" fillId="0" borderId="5" xfId="0" applyFont="1" applyAlignment="1">
      <alignment horizontal="left" vertical="top" wrapText="1"/>
    </xf>
    <xf numFmtId="0" fontId="13" fillId="0" borderId="21" xfId="0" applyFont="1" applyBorder="1" applyAlignment="1">
      <alignment horizontal="center" vertical="center" wrapText="1"/>
    </xf>
    <xf numFmtId="164" fontId="13" fillId="0" borderId="2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3" fillId="0" borderId="5" xfId="0" applyFont="1" applyAlignment="1">
      <alignment horizontal="center" vertical="center"/>
    </xf>
    <xf numFmtId="0" fontId="13" fillId="0" borderId="5" xfId="0" applyFont="1" applyAlignment="1">
      <alignment horizontal="center" vertical="center" wrapText="1"/>
    </xf>
    <xf numFmtId="164" fontId="13" fillId="0" borderId="5" xfId="0" applyNumberFormat="1" applyFont="1" applyAlignment="1">
      <alignment horizontal="center" vertical="center" wrapText="1"/>
    </xf>
    <xf numFmtId="0" fontId="15" fillId="0" borderId="5" xfId="0" applyFont="1" applyAlignment="1">
      <alignment horizontal="center" vertical="center" wrapText="1"/>
    </xf>
    <xf numFmtId="0" fontId="3" fillId="0" borderId="5" xfId="0" applyFont="1" applyAlignment="1">
      <alignment horizontal="center" vertical="center"/>
    </xf>
    <xf numFmtId="0" fontId="0" fillId="0" borderId="0" xfId="0" applyBorder="1"/>
    <xf numFmtId="0" fontId="10" fillId="4" borderId="2" xfId="0" applyFont="1" applyFill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20" xfId="0" applyBorder="1"/>
    <xf numFmtId="0" fontId="1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9" xfId="0" applyBorder="1"/>
    <xf numFmtId="0" fontId="1" fillId="5" borderId="2" xfId="0" applyFont="1" applyFill="1" applyBorder="1" applyAlignment="1">
      <alignment horizontal="center" vertical="center"/>
    </xf>
    <xf numFmtId="0" fontId="0" fillId="0" borderId="4" xfId="0" applyBorder="1"/>
    <xf numFmtId="0" fontId="16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0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7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8" fillId="6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2"/>
  <sheetViews>
    <sheetView showGridLines="0" tabSelected="1" zoomScale="70" zoomScaleNormal="70" workbookViewId="0">
      <selection activeCell="Q8" sqref="Q8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1:16" ht="14.4" customHeight="1" x14ac:dyDescent="0.3">
      <c r="I1" s="1"/>
      <c r="J1" s="1"/>
      <c r="K1" s="2"/>
      <c r="L1" s="3"/>
    </row>
    <row r="2" spans="1:16" ht="14.4" customHeight="1" x14ac:dyDescent="0.3">
      <c r="I2" s="1"/>
      <c r="J2" s="1"/>
      <c r="K2" s="2"/>
      <c r="L2" s="3"/>
    </row>
    <row r="3" spans="1:16" ht="45" customHeight="1" x14ac:dyDescent="0.25">
      <c r="B3" s="45" t="s">
        <v>72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6" ht="14.4" customHeight="1" x14ac:dyDescent="0.3">
      <c r="H4" s="4"/>
      <c r="I4" s="1"/>
      <c r="J4" s="1"/>
      <c r="K4" s="2"/>
      <c r="L4" s="3"/>
    </row>
    <row r="5" spans="1:16" ht="39.75" customHeight="1" x14ac:dyDescent="0.25">
      <c r="B5" s="5" t="s">
        <v>0</v>
      </c>
      <c r="C5" s="5" t="s">
        <v>1</v>
      </c>
      <c r="D5" s="37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1:16" ht="63" customHeight="1" x14ac:dyDescent="0.25">
      <c r="A6" s="28"/>
      <c r="B6" s="38" t="s">
        <v>14</v>
      </c>
      <c r="C6" s="35" t="s">
        <v>15</v>
      </c>
      <c r="D6" s="35" t="s">
        <v>16</v>
      </c>
      <c r="E6" s="35" t="s">
        <v>17</v>
      </c>
      <c r="F6" s="35" t="s">
        <v>18</v>
      </c>
      <c r="G6" s="35" t="s">
        <v>19</v>
      </c>
      <c r="H6" s="35" t="s">
        <v>20</v>
      </c>
      <c r="I6" s="35">
        <v>6</v>
      </c>
      <c r="J6" s="36">
        <v>46157</v>
      </c>
      <c r="K6" s="35" t="s">
        <v>21</v>
      </c>
      <c r="L6" s="35" t="s">
        <v>22</v>
      </c>
      <c r="M6" s="39" t="s">
        <v>23</v>
      </c>
      <c r="N6" s="35" t="s">
        <v>24</v>
      </c>
      <c r="O6" s="35" t="s">
        <v>25</v>
      </c>
      <c r="P6" s="28"/>
    </row>
    <row r="7" spans="1:16" ht="67.5" customHeight="1" x14ac:dyDescent="0.25">
      <c r="A7" s="28"/>
      <c r="B7" s="38" t="s">
        <v>26</v>
      </c>
      <c r="C7" s="35" t="s">
        <v>27</v>
      </c>
      <c r="D7" s="35" t="s">
        <v>28</v>
      </c>
      <c r="E7" s="35" t="s">
        <v>29</v>
      </c>
      <c r="F7" s="35" t="s">
        <v>30</v>
      </c>
      <c r="G7" s="35" t="s">
        <v>31</v>
      </c>
      <c r="H7" s="35" t="s">
        <v>32</v>
      </c>
      <c r="I7" s="35">
        <v>5</v>
      </c>
      <c r="J7" s="36">
        <v>46160</v>
      </c>
      <c r="K7" s="35" t="s">
        <v>21</v>
      </c>
      <c r="L7" s="35" t="s">
        <v>22</v>
      </c>
      <c r="M7" s="39" t="s">
        <v>33</v>
      </c>
      <c r="N7" s="35" t="s">
        <v>34</v>
      </c>
      <c r="O7" s="35" t="s">
        <v>35</v>
      </c>
      <c r="P7" s="28"/>
    </row>
    <row r="8" spans="1:16" ht="77.25" customHeight="1" x14ac:dyDescent="0.25">
      <c r="A8" s="28"/>
      <c r="B8" s="38" t="s">
        <v>36</v>
      </c>
      <c r="C8" s="40" t="s">
        <v>71</v>
      </c>
      <c r="D8" s="35" t="s">
        <v>37</v>
      </c>
      <c r="E8" s="35" t="s">
        <v>38</v>
      </c>
      <c r="F8" s="35" t="s">
        <v>18</v>
      </c>
      <c r="G8" s="35" t="s">
        <v>39</v>
      </c>
      <c r="H8" s="35" t="s">
        <v>40</v>
      </c>
      <c r="I8" s="35">
        <v>4</v>
      </c>
      <c r="J8" s="36">
        <v>46162</v>
      </c>
      <c r="K8" s="35" t="s">
        <v>41</v>
      </c>
      <c r="L8" s="35" t="s">
        <v>22</v>
      </c>
      <c r="M8" s="39" t="s">
        <v>42</v>
      </c>
      <c r="N8" s="35" t="s">
        <v>43</v>
      </c>
      <c r="O8" s="35" t="s">
        <v>44</v>
      </c>
      <c r="P8" s="28"/>
    </row>
    <row r="9" spans="1:16" ht="85.2" customHeight="1" x14ac:dyDescent="0.25">
      <c r="A9" s="28"/>
      <c r="B9" s="38" t="s">
        <v>45</v>
      </c>
      <c r="C9" s="40" t="s">
        <v>73</v>
      </c>
      <c r="D9" s="40" t="s">
        <v>74</v>
      </c>
      <c r="E9" s="40" t="s">
        <v>75</v>
      </c>
      <c r="F9" s="35" t="s">
        <v>30</v>
      </c>
      <c r="G9" s="40" t="s">
        <v>77</v>
      </c>
      <c r="H9" s="35" t="s">
        <v>46</v>
      </c>
      <c r="I9" s="35">
        <v>7</v>
      </c>
      <c r="J9" s="36">
        <v>46164</v>
      </c>
      <c r="K9" s="35" t="s">
        <v>21</v>
      </c>
      <c r="L9" s="35" t="s">
        <v>22</v>
      </c>
      <c r="M9" s="39" t="s">
        <v>78</v>
      </c>
      <c r="N9" s="40" t="s">
        <v>79</v>
      </c>
      <c r="O9" s="40" t="s">
        <v>76</v>
      </c>
      <c r="P9" s="28"/>
    </row>
    <row r="10" spans="1:16" ht="71.25" customHeight="1" x14ac:dyDescent="0.25">
      <c r="A10" s="28"/>
      <c r="B10" s="38" t="s">
        <v>47</v>
      </c>
      <c r="C10" s="35" t="s">
        <v>48</v>
      </c>
      <c r="D10" s="35" t="s">
        <v>49</v>
      </c>
      <c r="E10" s="35" t="s">
        <v>50</v>
      </c>
      <c r="F10" s="35" t="s">
        <v>51</v>
      </c>
      <c r="G10" s="35" t="s">
        <v>52</v>
      </c>
      <c r="H10" s="35" t="s">
        <v>20</v>
      </c>
      <c r="I10" s="35">
        <v>6</v>
      </c>
      <c r="J10" s="36">
        <v>46167</v>
      </c>
      <c r="K10" s="35" t="s">
        <v>41</v>
      </c>
      <c r="L10" s="35" t="s">
        <v>22</v>
      </c>
      <c r="M10" s="39" t="s">
        <v>53</v>
      </c>
      <c r="N10" s="35" t="s">
        <v>54</v>
      </c>
      <c r="O10" s="35" t="s">
        <v>55</v>
      </c>
      <c r="P10" s="28"/>
    </row>
    <row r="11" spans="1:16" ht="114" customHeight="1" x14ac:dyDescent="0.25"/>
    <row r="12" spans="1:16" ht="13.8" customHeight="1" x14ac:dyDescent="0.25">
      <c r="B12" s="41"/>
      <c r="C12" s="42"/>
      <c r="D12" s="42"/>
      <c r="E12" s="42"/>
      <c r="F12" s="42"/>
      <c r="G12" s="42"/>
      <c r="H12" s="42"/>
      <c r="I12" s="42"/>
      <c r="J12" s="43"/>
      <c r="K12" s="42"/>
      <c r="L12" s="42"/>
      <c r="M12" s="44"/>
      <c r="N12" s="44"/>
      <c r="O12" s="42"/>
    </row>
    <row r="13" spans="1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1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1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1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5">
      <c r="I22" s="3"/>
      <c r="J22" s="3"/>
      <c r="K22" s="6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25">
      <c r="I26" s="1"/>
      <c r="J26" s="1"/>
      <c r="K26" s="7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 t="s">
        <v>21</v>
      </c>
      <c r="L31" s="1" t="s">
        <v>56</v>
      </c>
      <c r="M31" s="4"/>
    </row>
    <row r="32" spans="2:15" ht="19.5" customHeight="1" x14ac:dyDescent="0.3">
      <c r="I32" s="1"/>
      <c r="J32" s="1"/>
      <c r="K32" s="2" t="s">
        <v>57</v>
      </c>
      <c r="L32" s="1" t="s">
        <v>58</v>
      </c>
      <c r="M32" s="4"/>
    </row>
    <row r="33" spans="9:13" ht="19.5" customHeight="1" x14ac:dyDescent="0.3">
      <c r="I33" s="1"/>
      <c r="J33" s="1"/>
      <c r="K33" s="2" t="s">
        <v>59</v>
      </c>
      <c r="L33" s="1" t="s">
        <v>60</v>
      </c>
      <c r="M33" s="4"/>
    </row>
    <row r="34" spans="9:13" ht="19.5" customHeight="1" x14ac:dyDescent="0.3">
      <c r="I34" s="1"/>
      <c r="J34" s="1"/>
      <c r="K34" s="2"/>
      <c r="L34" s="1" t="s">
        <v>61</v>
      </c>
      <c r="M34" s="4"/>
    </row>
    <row r="35" spans="9:13" ht="19.5" customHeight="1" x14ac:dyDescent="0.3">
      <c r="I35" s="1"/>
      <c r="J35" s="1"/>
      <c r="K35" s="2"/>
      <c r="L35" s="3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25">
      <c r="I1001" s="3"/>
      <c r="J1001" s="3"/>
      <c r="K1001" s="6"/>
      <c r="L1001" s="3"/>
    </row>
    <row r="1002" spans="9:12" ht="15" customHeight="1" x14ac:dyDescent="0.25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6:L10 L12:L21" xr:uid="{00000000-0002-0000-0000-000000000000}">
      <formula1>$L$31:$L$34</formula1>
    </dataValidation>
    <dataValidation type="list" allowBlank="1" showErrorMessage="1" sqref="K6:K10 K12:K21" xr:uid="{00000000-0002-0000-0000-000001000000}">
      <formula1>$K$31:$K$33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customHeight="1" x14ac:dyDescent="0.3">
      <c r="C4" s="8"/>
      <c r="D4" s="8"/>
      <c r="E4" s="8"/>
      <c r="F4" s="4"/>
    </row>
    <row r="5" spans="2:16" ht="14.4" hidden="1" customHeight="1" x14ac:dyDescent="0.3">
      <c r="C5" s="8"/>
      <c r="D5" s="8"/>
      <c r="E5" s="8"/>
      <c r="F5" s="4"/>
    </row>
    <row r="6" spans="2:16" ht="39.75" customHeight="1" x14ac:dyDescent="0.25">
      <c r="B6" s="68" t="s">
        <v>62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57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0</v>
      </c>
      <c r="D9" s="11"/>
      <c r="E9" s="47" t="s">
        <v>63</v>
      </c>
      <c r="F9" s="57"/>
      <c r="G9" s="11"/>
      <c r="H9" s="47" t="s">
        <v>10</v>
      </c>
      <c r="I9" s="57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14</v>
      </c>
      <c r="D10" s="14"/>
      <c r="E10" s="53" t="str">
        <f>VLOOKUP(C10,'Formato descripción HU'!B6:O21,5,0)</f>
        <v>Cliente</v>
      </c>
      <c r="F10" s="57"/>
      <c r="G10" s="15"/>
      <c r="H10" s="56" t="str">
        <f>VLOOKUP(C10,'Formato descripción HU'!B6:O21,11,0)</f>
        <v>Pendiente</v>
      </c>
      <c r="I10" s="57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64</v>
      </c>
      <c r="D12" s="14"/>
      <c r="E12" s="47" t="s">
        <v>9</v>
      </c>
      <c r="F12" s="57"/>
      <c r="G12" s="15"/>
      <c r="H12" s="47" t="s">
        <v>65</v>
      </c>
      <c r="I12" s="57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HU'!B6:O21,8,0)</f>
        <v>6</v>
      </c>
      <c r="D13" s="14"/>
      <c r="E13" s="56" t="str">
        <f>VLOOKUP(C10,'Formato descripción HU'!B6:O21,10,0)</f>
        <v>Alta</v>
      </c>
      <c r="F13" s="57"/>
      <c r="G13" s="15"/>
      <c r="H13" s="56" t="str">
        <f>VLOOKUP(C10,'Formato descripción HU'!B6:O21,7,0)</f>
        <v>Anthony Guaycha</v>
      </c>
      <c r="I13" s="57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64" t="s">
        <v>66</v>
      </c>
      <c r="D15" s="53" t="str">
        <f>VLOOKUP(C10,'Formato descripción HU'!B6:O21,3,0)</f>
        <v>Permitir a los clientes realizar pedidos en línea.</v>
      </c>
      <c r="E15" s="48"/>
      <c r="F15" s="12"/>
      <c r="G15" s="64" t="s">
        <v>67</v>
      </c>
      <c r="H15" s="53" t="str">
        <f>VLOOKUP(C10,'Formato descripción HU'!B6:O21,4,0)</f>
        <v>Automatizar el proceso de ventas del producto MPG-CAPS.</v>
      </c>
      <c r="I15" s="54"/>
      <c r="J15" s="48"/>
      <c r="K15" s="12"/>
      <c r="L15" s="70" t="s">
        <v>68</v>
      </c>
      <c r="M15" s="71" t="str">
        <f>VLOOKUP(C10,'Formato descripción HU'!B6:O21,6,0)</f>
        <v>Registrar datos del cliente y generar pedidos automáticos desde la plataforma web.</v>
      </c>
      <c r="N15" s="54"/>
      <c r="O15" s="48"/>
      <c r="P15" s="27"/>
    </row>
    <row r="16" spans="2:16" ht="19.5" customHeight="1" x14ac:dyDescent="0.25">
      <c r="B16" s="26"/>
      <c r="C16" s="65"/>
      <c r="D16" s="49"/>
      <c r="E16" s="50"/>
      <c r="F16" s="12"/>
      <c r="G16" s="65"/>
      <c r="H16" s="49"/>
      <c r="I16" s="46"/>
      <c r="J16" s="50"/>
      <c r="K16" s="12"/>
      <c r="L16" s="65"/>
      <c r="M16" s="49"/>
      <c r="N16" s="46"/>
      <c r="O16" s="50"/>
      <c r="P16" s="27"/>
    </row>
    <row r="17" spans="2:16" ht="19.5" customHeight="1" x14ac:dyDescent="0.25">
      <c r="B17" s="26"/>
      <c r="C17" s="66"/>
      <c r="D17" s="51"/>
      <c r="E17" s="52"/>
      <c r="F17" s="12"/>
      <c r="G17" s="66"/>
      <c r="H17" s="51"/>
      <c r="I17" s="55"/>
      <c r="J17" s="52"/>
      <c r="K17" s="12"/>
      <c r="L17" s="66"/>
      <c r="M17" s="51"/>
      <c r="N17" s="55"/>
      <c r="O17" s="52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67" t="s">
        <v>69</v>
      </c>
      <c r="D19" s="48"/>
      <c r="E19" s="58" t="str">
        <f>VLOOKUP(C10,'Formato descripción HU'!B6:O20,14,0)</f>
        <v>Registro de pedidos en línea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27"/>
    </row>
    <row r="20" spans="2:16" ht="19.5" customHeight="1" x14ac:dyDescent="0.25">
      <c r="B20" s="26"/>
      <c r="C20" s="51"/>
      <c r="D20" s="5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47" t="s">
        <v>70</v>
      </c>
      <c r="D22" s="48"/>
      <c r="E22" s="53" t="str">
        <f>VLOOKUP(C10,'Formato descripción HU'!B6:O21,12,0)</f>
        <v>Verificar que el pedido quede registrado correctamente en la base de datos.</v>
      </c>
      <c r="F22" s="54"/>
      <c r="G22" s="54"/>
      <c r="H22" s="48"/>
      <c r="I22" s="12"/>
      <c r="J22" s="47" t="s">
        <v>12</v>
      </c>
      <c r="K22" s="48"/>
      <c r="L22" s="53" t="str">
        <f>VLOOKUP(C10,'Formato descripción HU'!B6:O21,13,0)</f>
        <v>Se debe validar información obligatoria.</v>
      </c>
      <c r="M22" s="54"/>
      <c r="N22" s="54"/>
      <c r="O22" s="48"/>
      <c r="P22" s="27"/>
    </row>
    <row r="23" spans="2:16" ht="19.5" customHeight="1" x14ac:dyDescent="0.25">
      <c r="B23" s="26"/>
      <c r="C23" s="49"/>
      <c r="D23" s="50"/>
      <c r="E23" s="49"/>
      <c r="F23" s="46"/>
      <c r="G23" s="46"/>
      <c r="H23" s="50"/>
      <c r="I23" s="12"/>
      <c r="J23" s="49"/>
      <c r="K23" s="50"/>
      <c r="L23" s="49"/>
      <c r="M23" s="46"/>
      <c r="N23" s="46"/>
      <c r="O23" s="50"/>
      <c r="P23" s="27"/>
    </row>
    <row r="24" spans="2:16" ht="19.5" customHeight="1" x14ac:dyDescent="0.25">
      <c r="B24" s="26"/>
      <c r="C24" s="51"/>
      <c r="D24" s="52"/>
      <c r="E24" s="51"/>
      <c r="F24" s="55"/>
      <c r="G24" s="55"/>
      <c r="H24" s="52"/>
      <c r="I24" s="12"/>
      <c r="J24" s="51"/>
      <c r="K24" s="52"/>
      <c r="L24" s="51"/>
      <c r="M24" s="55"/>
      <c r="N24" s="55"/>
      <c r="O24" s="52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E9:F9"/>
    <mergeCell ref="B6:P6"/>
    <mergeCell ref="C15:C17"/>
    <mergeCell ref="L15:L17"/>
    <mergeCell ref="E12:F12"/>
    <mergeCell ref="H10:I10"/>
    <mergeCell ref="H9:I9"/>
    <mergeCell ref="M15:O17"/>
    <mergeCell ref="E10:F10"/>
    <mergeCell ref="C22:D24"/>
    <mergeCell ref="D15:E17"/>
    <mergeCell ref="H15:J17"/>
    <mergeCell ref="H13:I13"/>
    <mergeCell ref="H12:I12"/>
    <mergeCell ref="J22:K24"/>
    <mergeCell ref="E19:O20"/>
    <mergeCell ref="G15:G17"/>
    <mergeCell ref="C19:D20"/>
    <mergeCell ref="E13:F13"/>
    <mergeCell ref="L22:O24"/>
    <mergeCell ref="E22:H24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Anthony Guaycha</cp:lastModifiedBy>
  <cp:lastPrinted>2022-11-25T05:25:55Z</cp:lastPrinted>
  <dcterms:created xsi:type="dcterms:W3CDTF">2019-10-21T15:37:14Z</dcterms:created>
  <dcterms:modified xsi:type="dcterms:W3CDTF">2026-05-14T00:59:45Z</dcterms:modified>
</cp:coreProperties>
</file>