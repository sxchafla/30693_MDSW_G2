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nga\Downloads\"/>
    </mc:Choice>
  </mc:AlternateContent>
  <xr:revisionPtr revIDLastSave="0" documentId="8_{6BF3EA41-ADE4-4E6B-874C-2448B28B764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8" i="2" l="1"/>
  <c r="E98" i="2"/>
  <c r="E95" i="2"/>
  <c r="M91" i="2"/>
  <c r="H91" i="2"/>
  <c r="D91" i="2"/>
  <c r="H89" i="2"/>
  <c r="E89" i="2"/>
  <c r="C89" i="2"/>
  <c r="H86" i="2"/>
  <c r="E86" i="2"/>
  <c r="L79" i="2"/>
  <c r="E79" i="2"/>
  <c r="E76" i="2"/>
  <c r="M72" i="2"/>
  <c r="H72" i="2"/>
  <c r="D72" i="2"/>
  <c r="H70" i="2"/>
  <c r="E70" i="2"/>
  <c r="C70" i="2"/>
  <c r="H67" i="2"/>
  <c r="E67" i="2"/>
  <c r="L60" i="2"/>
  <c r="E60" i="2"/>
  <c r="E57" i="2"/>
  <c r="M53" i="2"/>
  <c r="H53" i="2"/>
  <c r="D53" i="2"/>
  <c r="H51" i="2"/>
  <c r="E51" i="2"/>
  <c r="C51" i="2"/>
  <c r="H48" i="2"/>
  <c r="E48" i="2"/>
  <c r="L41" i="2"/>
  <c r="E41" i="2"/>
  <c r="E38" i="2"/>
  <c r="M34" i="2"/>
  <c r="H34" i="2"/>
  <c r="D34" i="2"/>
  <c r="H32" i="2"/>
  <c r="E32" i="2"/>
  <c r="C32" i="2"/>
  <c r="H29" i="2"/>
  <c r="E29" i="2"/>
  <c r="L22" i="2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<sst xmlns="http://schemas.openxmlformats.org/spreadsheetml/2006/main" count="152" uniqueCount="80">
  <si>
    <t>Como cliente, quiero procesar el pago de mi pedido para completar la transacción.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</si>
  <si>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</si>
  <si>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</si>
  <si>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</si>
  <si>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</si>
  <si>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</si>
  <si>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</si>
  <si>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</si>
  <si>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</si>
  <si>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</si>
  <si>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</si>
  <si>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</si>
  <si>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</si>
  <si>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</si>
  <si>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</si>
  <si>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</si>
  <si>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La gestión manual de pedidos genera demoras y errores.</t>
  </si>
  <si>
    <t>Permitir a los clientes realizar pedidos en línea.</t>
  </si>
  <si>
    <t>Automatizar el proceso de ventas del producto MPG-CAPS.</t>
  </si>
  <si>
    <t>Cliente</t>
  </si>
  <si>
    <t>Registrar datos del cliente y generar pedidos automáticos desde la plataforma web.</t>
  </si>
  <si>
    <t>Anthony Guaycha</t>
  </si>
  <si>
    <t>Alta</t>
  </si>
  <si>
    <t>Pendiente</t>
  </si>
  <si>
    <t>Verificar que el pedido quede registrado correctamente en la base de datos.</t>
  </si>
  <si>
    <t>Se debe validar información obligatoria.</t>
  </si>
  <si>
    <t>Registro de pedidos en línea</t>
  </si>
  <si>
    <t>REQ002</t>
  </si>
  <si>
    <t>No existe control eficiente del inventario.</t>
  </si>
  <si>
    <t>Actualizar automáticamente el stock disponible.</t>
  </si>
  <si>
    <t>Evitar pérdidas por descontrol de inventario.</t>
  </si>
  <si>
    <t>Administrador</t>
  </si>
  <si>
    <t>Desarrollar módulo de inventario con actualización en tiempo real.</t>
  </si>
  <si>
    <t>Santiago Chafla</t>
  </si>
  <si>
    <t>Comprobar que el stock disminuya después de cada venta.</t>
  </si>
  <si>
    <t>Debe mostrar alertas de bajo inventario.</t>
  </si>
  <si>
    <t>Gestión automática de inventario</t>
  </si>
  <si>
    <t>REQ003</t>
  </si>
  <si>
    <t>Los clientes buscan facilitar sus compras.</t>
  </si>
  <si>
    <t>Visualizar productos desde una plataforma web.</t>
  </si>
  <si>
    <t>Facilitar compras accesibles 24/7.</t>
  </si>
  <si>
    <t>Diseñar interfaz intuitiva para visualizar información del producto MPG-CAPS.</t>
  </si>
  <si>
    <t>Janine Cayo</t>
  </si>
  <si>
    <t>Media</t>
  </si>
  <si>
    <t>Validar navegación y visualización correcta del catálogo.</t>
  </si>
  <si>
    <t>Interfaz adaptable a dispositivos móviles.</t>
  </si>
  <si>
    <t>Visualización de productos</t>
  </si>
  <si>
    <t>REQ004</t>
  </si>
  <si>
    <t>No existe un sistema centralizado de pedidos.</t>
  </si>
  <si>
    <t>Administrar pedidos desde un panel web.</t>
  </si>
  <si>
    <t>Optimizar la supervisión y control de ventas.</t>
  </si>
  <si>
    <t>Implementar panel administrativo con visualización de pedidos y reportes.</t>
  </si>
  <si>
    <t>Edmir Madrid</t>
  </si>
  <si>
    <t>Verificar que el administrador pueda consultar pedidos y reportes.</t>
  </si>
  <si>
    <t>El panel debe ser seguro y accesible.</t>
  </si>
  <si>
    <t>Panel administrativo</t>
  </si>
  <si>
    <t>REQ005</t>
  </si>
  <si>
    <t>El negocio no tiene disponibilidad permanente.</t>
  </si>
  <si>
    <t>Mantener el sistema disponible 24/7.</t>
  </si>
  <si>
    <t>Incrementar el alcance comercial del negocio.</t>
  </si>
  <si>
    <t>EcoWeb Quantum</t>
  </si>
  <si>
    <t>Configurar despliegue web y pruebas de disponibilidad continua.</t>
  </si>
  <si>
    <t>Comprobar acceso al sistema en cualquier horario.</t>
  </si>
  <si>
    <t>Implementar respaldo de información.</t>
  </si>
  <si>
    <t>Disponibilidad continua del sistema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</si>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</sst>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0" x14ac:knownFonts="1">
    <font>
      <sz val="11"/>
      <color theme="1"/>
      <name val="Arial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0"/>
      <color rgb="FF000000"/>
      <name val="Calibri"/>
      <family val="2"/>
    </font>
    <font>
      <sz val="12"/>
      <color theme="1"/>
      <name val="Calibri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5"/>
  </cellStyleXfs>
  <cellXfs count="74">
    <xf numFmtId="0" fontId="0" fillId="0" borderId="0" xfId="0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8" fillId="0" borderId="0" xfId="0" applyFont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1" fillId="3" borderId="5" xfId="0" applyFont="1" applyFill="1" applyAlignment="1">
      <alignment vertical="center"/>
    </xf>
    <xf numFmtId="0" fontId="2" fillId="3" borderId="5" xfId="0" applyFont="1" applyFill="1"/>
    <xf numFmtId="0" fontId="12" fillId="5" borderId="2" xfId="0" applyFont="1" applyFill="1" applyBorder="1" applyAlignment="1">
      <alignment horizontal="center" vertical="center"/>
    </xf>
    <xf numFmtId="0" fontId="1" fillId="3" borderId="5" xfId="0" applyFont="1" applyFill="1" applyAlignment="1">
      <alignment vertical="center" wrapText="1"/>
    </xf>
    <xf numFmtId="0" fontId="1" fillId="3" borderId="5" xfId="0" applyFont="1" applyFill="1" applyAlignment="1">
      <alignment vertical="center"/>
    </xf>
    <xf numFmtId="0" fontId="12" fillId="3" borderId="5" xfId="0" applyFont="1" applyFill="1" applyAlignment="1">
      <alignment horizontal="center" vertical="center"/>
    </xf>
    <xf numFmtId="0" fontId="1" fillId="3" borderId="5" xfId="0" applyFont="1" applyFill="1" applyAlignment="1">
      <alignment horizontal="center" vertical="center"/>
    </xf>
    <xf numFmtId="0" fontId="2" fillId="3" borderId="6" xfId="0" applyFont="1" applyFill="1" applyBorder="1"/>
    <xf numFmtId="0" fontId="8" fillId="3" borderId="8" xfId="0" applyFont="1" applyFill="1" applyBorder="1" applyAlignment="1">
      <alignment horizontal="left" vertical="center" wrapText="1"/>
    </xf>
    <xf numFmtId="0" fontId="1" fillId="3" borderId="8" xfId="0" applyFont="1" applyFill="1" applyBorder="1"/>
    <xf numFmtId="0" fontId="2" fillId="3" borderId="8" xfId="0" applyFont="1" applyFill="1" applyBorder="1"/>
    <xf numFmtId="0" fontId="2" fillId="3" borderId="7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0" fillId="0" borderId="5" xfId="0"/>
    <xf numFmtId="0" fontId="5" fillId="0" borderId="5" xfId="0" applyFont="1" applyAlignment="1">
      <alignment vertical="center"/>
    </xf>
    <xf numFmtId="0" fontId="5" fillId="0" borderId="5" xfId="0" applyFont="1" applyAlignment="1">
      <alignment vertical="center" wrapText="1"/>
    </xf>
    <xf numFmtId="0" fontId="5" fillId="0" borderId="5" xfId="0" applyFont="1" applyAlignment="1">
      <alignment horizontal="center" vertical="center" wrapText="1"/>
    </xf>
    <xf numFmtId="164" fontId="5" fillId="0" borderId="5" xfId="0" applyNumberFormat="1" applyFont="1" applyAlignment="1">
      <alignment horizontal="center" vertical="center" wrapText="1"/>
    </xf>
    <xf numFmtId="0" fontId="1" fillId="0" borderId="5" xfId="0" applyFont="1" applyAlignment="1">
      <alignment horizontal="center" vertical="center" wrapText="1"/>
    </xf>
    <xf numFmtId="0" fontId="6" fillId="0" borderId="5" xfId="0" applyFont="1" applyAlignment="1">
      <alignment horizontal="left" vertical="top" wrapText="1"/>
    </xf>
    <xf numFmtId="0" fontId="13" fillId="0" borderId="21" xfId="0" applyFont="1" applyBorder="1" applyAlignment="1">
      <alignment horizontal="center" vertical="center" wrapText="1"/>
    </xf>
    <xf numFmtId="164" fontId="13" fillId="0" borderId="21" xfId="0" applyNumberFormat="1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3" fillId="0" borderId="5" xfId="0" applyFont="1" applyAlignment="1">
      <alignment horizontal="center" vertical="center"/>
    </xf>
    <xf numFmtId="0" fontId="13" fillId="0" borderId="5" xfId="0" applyFont="1" applyAlignment="1">
      <alignment horizontal="center" vertical="center" wrapText="1"/>
    </xf>
    <xf numFmtId="164" fontId="13" fillId="0" borderId="5" xfId="0" applyNumberFormat="1" applyFont="1" applyAlignment="1">
      <alignment horizontal="center" vertical="center" wrapText="1"/>
    </xf>
    <xf numFmtId="0" fontId="15" fillId="0" borderId="5" xfId="0" applyFont="1" applyAlignment="1">
      <alignment horizontal="center" vertical="center" wrapText="1"/>
    </xf>
    <xf numFmtId="0" fontId="8" fillId="0" borderId="5" xfId="0" applyFont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/>
    </xf>
    <xf numFmtId="0" fontId="16" fillId="5" borderId="2" xfId="0" applyFont="1" applyFill="1" applyBorder="1" applyAlignment="1">
      <alignment horizontal="center" vertical="center"/>
    </xf>
    <xf numFmtId="0" fontId="16" fillId="3" borderId="5" xfId="0" applyFont="1" applyFill="1" applyAlignment="1">
      <alignment horizontal="center" vertical="center"/>
    </xf>
    <xf numFmtId="0" fontId="3" fillId="0" borderId="5" xfId="0" applyFont="1" applyAlignment="1">
      <alignment horizontal="center" vertical="center"/>
    </xf>
    <xf numFmtId="0" fontId="0" fillId="0" borderId="0" xfId="0" applyBorder="1"/>
    <xf numFmtId="0" fontId="1" fillId="5" borderId="2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6" fillId="2" borderId="22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5" borderId="2" xfId="0" applyFont="1" applyFill="1" applyBorder="1" applyAlignment="1">
      <alignment horizontal="center" vertical="center"/>
    </xf>
    <xf numFmtId="0" fontId="0" fillId="0" borderId="4" xfId="0" applyBorder="1"/>
    <xf numFmtId="0" fontId="18" fillId="6" borderId="2" xfId="0" applyFont="1" applyFill="1" applyBorder="1" applyAlignment="1">
      <alignment horizontal="center" vertical="center"/>
    </xf>
    <xf numFmtId="0" fontId="0" fillId="0" borderId="9" xfId="0" applyBorder="1"/>
    <xf numFmtId="0" fontId="0" fillId="0" borderId="12" xfId="0" applyBorder="1"/>
    <xf numFmtId="0" fontId="10" fillId="4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17" fillId="7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1002"/>
  <sheetViews>
    <sheetView showGridLines="0" zoomScale="70" zoomScaleNormal="70" workbookViewId="0">
      <selection activeCell="B4" sqref="B4"/>
    </sheetView>
  </sheetViews>
  <sheetFormatPr baseColWidth="10" defaultColWidth="12.59765625" defaultRowHeight="15" customHeight="1" x14ac:dyDescent="0.25"/>
  <cols>
    <col min="1" max="1" width="2" customWidth="1"/>
    <col min="2" max="2" width="8" bestFit="1" customWidth="1"/>
    <col min="3" max="5" width="20.59765625" customWidth="1"/>
    <col min="6" max="6" width="15" customWidth="1"/>
    <col min="7" max="7" width="28.5" customWidth="1"/>
    <col min="8" max="12" width="10.59765625" customWidth="1"/>
    <col min="13" max="15" width="20.59765625" customWidth="1"/>
    <col min="16" max="26" width="9.296875" customWidth="1"/>
  </cols>
  <sheetData>
    <row r="1" spans="1:16" ht="14.4" customHeight="1" x14ac:dyDescent="0.3">
      <c r="I1" s="1"/>
      <c r="J1" s="1"/>
      <c r="K1" s="2"/>
      <c r="L1" s="3"/>
    </row>
    <row r="2" spans="1:16" ht="14.4" customHeight="1" x14ac:dyDescent="0.3">
      <c r="I2" s="1"/>
      <c r="J2" s="1"/>
      <c r="K2" s="2"/>
      <c r="L2" s="3"/>
    </row>
    <row r="3" spans="1:16" ht="45" customHeight="1" x14ac:dyDescent="0.25">
      <c r="B3" s="46" t="s">
        <v>0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1:16" ht="14.4" customHeight="1" x14ac:dyDescent="0.3">
      <c r="H4" s="4"/>
      <c r="I4" s="1"/>
      <c r="J4" s="1"/>
      <c r="K4" s="2"/>
      <c r="L4" s="3"/>
    </row>
    <row r="5" spans="1:16" ht="39.75" customHeight="1" x14ac:dyDescent="0.25">
      <c r="B5" s="5" t="s">
        <v>1</v>
      </c>
      <c r="C5" s="5" t="s">
        <v>2</v>
      </c>
      <c r="D5" s="34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1:16" ht="63" customHeight="1" x14ac:dyDescent="0.25">
      <c r="A6" s="25"/>
      <c r="B6" s="35" t="s">
        <v>15</v>
      </c>
      <c r="C6" s="32" t="s">
        <v>16</v>
      </c>
      <c r="D6" s="32" t="s">
        <v>17</v>
      </c>
      <c r="E6" s="32" t="s">
        <v>18</v>
      </c>
      <c r="F6" s="32" t="s">
        <v>19</v>
      </c>
      <c r="G6" s="32" t="s">
        <v>20</v>
      </c>
      <c r="H6" s="32" t="s">
        <v>21</v>
      </c>
      <c r="I6" s="32">
        <v>6</v>
      </c>
      <c r="J6" s="33">
        <v>46157</v>
      </c>
      <c r="K6" s="32" t="s">
        <v>22</v>
      </c>
      <c r="L6" s="32" t="s">
        <v>23</v>
      </c>
      <c r="M6" s="36" t="s">
        <v>24</v>
      </c>
      <c r="N6" s="32" t="s">
        <v>25</v>
      </c>
      <c r="O6" s="32" t="s">
        <v>26</v>
      </c>
      <c r="P6" s="25"/>
    </row>
    <row r="7" spans="1:16" ht="67.5" customHeight="1" x14ac:dyDescent="0.25">
      <c r="A7" s="25"/>
      <c r="B7" s="35" t="s">
        <v>27</v>
      </c>
      <c r="C7" s="32" t="s">
        <v>28</v>
      </c>
      <c r="D7" s="32" t="s">
        <v>29</v>
      </c>
      <c r="E7" s="32" t="s">
        <v>30</v>
      </c>
      <c r="F7" s="32" t="s">
        <v>31</v>
      </c>
      <c r="G7" s="32" t="s">
        <v>32</v>
      </c>
      <c r="H7" s="32" t="s">
        <v>33</v>
      </c>
      <c r="I7" s="32">
        <v>5</v>
      </c>
      <c r="J7" s="33">
        <v>46160</v>
      </c>
      <c r="K7" s="32" t="s">
        <v>22</v>
      </c>
      <c r="L7" s="32" t="s">
        <v>23</v>
      </c>
      <c r="M7" s="36" t="s">
        <v>34</v>
      </c>
      <c r="N7" s="32" t="s">
        <v>35</v>
      </c>
      <c r="O7" s="32" t="s">
        <v>36</v>
      </c>
      <c r="P7" s="25"/>
    </row>
    <row r="8" spans="1:16" ht="77.25" customHeight="1" x14ac:dyDescent="0.25">
      <c r="A8" s="25"/>
      <c r="B8" s="35" t="s">
        <v>37</v>
      </c>
      <c r="C8" s="37" t="s">
        <v>38</v>
      </c>
      <c r="D8" s="32" t="s">
        <v>39</v>
      </c>
      <c r="E8" s="32" t="s">
        <v>40</v>
      </c>
      <c r="F8" s="32" t="s">
        <v>19</v>
      </c>
      <c r="G8" s="32" t="s">
        <v>41</v>
      </c>
      <c r="H8" s="32" t="s">
        <v>42</v>
      </c>
      <c r="I8" s="32">
        <v>4</v>
      </c>
      <c r="J8" s="33">
        <v>46162</v>
      </c>
      <c r="K8" s="32" t="s">
        <v>43</v>
      </c>
      <c r="L8" s="32" t="s">
        <v>23</v>
      </c>
      <c r="M8" s="36" t="s">
        <v>44</v>
      </c>
      <c r="N8" s="32" t="s">
        <v>45</v>
      </c>
      <c r="O8" s="32" t="s">
        <v>46</v>
      </c>
      <c r="P8" s="25"/>
    </row>
    <row r="9" spans="1:16" ht="75" customHeight="1" x14ac:dyDescent="0.25">
      <c r="A9" s="25"/>
      <c r="B9" s="35" t="s">
        <v>47</v>
      </c>
      <c r="C9" s="32" t="s">
        <v>48</v>
      </c>
      <c r="D9" s="32" t="s">
        <v>49</v>
      </c>
      <c r="E9" s="32" t="s">
        <v>50</v>
      </c>
      <c r="F9" s="32" t="s">
        <v>31</v>
      </c>
      <c r="G9" s="32" t="s">
        <v>51</v>
      </c>
      <c r="H9" s="32" t="s">
        <v>52</v>
      </c>
      <c r="I9" s="32">
        <v>7</v>
      </c>
      <c r="J9" s="33">
        <v>46164</v>
      </c>
      <c r="K9" s="32" t="s">
        <v>22</v>
      </c>
      <c r="L9" s="32" t="s">
        <v>23</v>
      </c>
      <c r="M9" s="36" t="s">
        <v>53</v>
      </c>
      <c r="N9" s="32" t="s">
        <v>54</v>
      </c>
      <c r="O9" s="32" t="s">
        <v>55</v>
      </c>
      <c r="P9" s="25"/>
    </row>
    <row r="10" spans="1:16" ht="71.25" customHeight="1" x14ac:dyDescent="0.25">
      <c r="A10" s="25"/>
      <c r="B10" s="35" t="s">
        <v>56</v>
      </c>
      <c r="C10" s="32" t="s">
        <v>57</v>
      </c>
      <c r="D10" s="32" t="s">
        <v>58</v>
      </c>
      <c r="E10" s="32" t="s">
        <v>59</v>
      </c>
      <c r="F10" s="32" t="s">
        <v>60</v>
      </c>
      <c r="G10" s="32" t="s">
        <v>61</v>
      </c>
      <c r="H10" s="32" t="s">
        <v>21</v>
      </c>
      <c r="I10" s="32">
        <v>6</v>
      </c>
      <c r="J10" s="33">
        <v>46167</v>
      </c>
      <c r="K10" s="32" t="s">
        <v>43</v>
      </c>
      <c r="L10" s="32" t="s">
        <v>23</v>
      </c>
      <c r="M10" s="36" t="s">
        <v>62</v>
      </c>
      <c r="N10" s="32" t="s">
        <v>63</v>
      </c>
      <c r="O10" s="32" t="s">
        <v>64</v>
      </c>
      <c r="P10" s="25"/>
    </row>
    <row r="11" spans="1:16" ht="114" customHeight="1" x14ac:dyDescent="0.25"/>
    <row r="12" spans="1:16" ht="13.8" customHeight="1" x14ac:dyDescent="0.25">
      <c r="B12" s="38"/>
      <c r="C12" s="39"/>
      <c r="D12" s="39"/>
      <c r="E12" s="39"/>
      <c r="F12" s="39"/>
      <c r="G12" s="39"/>
      <c r="H12" s="39"/>
      <c r="I12" s="39"/>
      <c r="J12" s="40"/>
      <c r="K12" s="39"/>
      <c r="L12" s="39"/>
      <c r="M12" s="41"/>
      <c r="N12" s="41"/>
      <c r="O12" s="39"/>
    </row>
    <row r="13" spans="1:16" ht="39.75" customHeight="1" x14ac:dyDescent="0.25">
      <c r="B13" s="26"/>
      <c r="C13" s="27"/>
      <c r="D13" s="27"/>
      <c r="E13" s="27"/>
      <c r="F13" s="27"/>
      <c r="G13" s="27"/>
      <c r="H13" s="27"/>
      <c r="I13" s="28"/>
      <c r="J13" s="29"/>
      <c r="K13" s="28"/>
      <c r="L13" s="30"/>
      <c r="M13" s="31"/>
      <c r="N13" s="29"/>
      <c r="O13" s="27"/>
    </row>
    <row r="14" spans="1:16" ht="39.75" customHeight="1" x14ac:dyDescent="0.25">
      <c r="B14" s="26"/>
      <c r="C14" s="27"/>
      <c r="D14" s="27"/>
      <c r="E14" s="27"/>
      <c r="F14" s="27"/>
      <c r="G14" s="27"/>
      <c r="H14" s="27"/>
      <c r="I14" s="28"/>
      <c r="J14" s="29"/>
      <c r="K14" s="28"/>
      <c r="L14" s="28"/>
      <c r="M14" s="29"/>
      <c r="N14" s="29"/>
      <c r="O14" s="29"/>
    </row>
    <row r="15" spans="1:16" ht="39.75" customHeight="1" x14ac:dyDescent="0.25">
      <c r="B15" s="26"/>
      <c r="C15" s="27"/>
      <c r="D15" s="27"/>
      <c r="E15" s="27"/>
      <c r="F15" s="27"/>
      <c r="G15" s="27"/>
      <c r="H15" s="27"/>
      <c r="I15" s="28"/>
      <c r="J15" s="29"/>
      <c r="K15" s="28"/>
      <c r="L15" s="28"/>
      <c r="M15" s="27"/>
      <c r="N15" s="27"/>
      <c r="O15" s="27"/>
    </row>
    <row r="16" spans="1:16" ht="39.75" customHeight="1" x14ac:dyDescent="0.25">
      <c r="B16" s="26"/>
      <c r="C16" s="27"/>
      <c r="D16" s="27"/>
      <c r="E16" s="27"/>
      <c r="F16" s="27"/>
      <c r="G16" s="27"/>
      <c r="H16" s="27"/>
      <c r="I16" s="28"/>
      <c r="J16" s="29"/>
      <c r="K16" s="28"/>
      <c r="L16" s="28"/>
      <c r="M16" s="27"/>
      <c r="N16" s="27"/>
      <c r="O16" s="27"/>
    </row>
    <row r="17" spans="2:15" ht="39.75" customHeight="1" x14ac:dyDescent="0.25">
      <c r="B17" s="26"/>
      <c r="C17" s="27"/>
      <c r="D17" s="27"/>
      <c r="E17" s="27"/>
      <c r="F17" s="27"/>
      <c r="G17" s="27"/>
      <c r="H17" s="27"/>
      <c r="I17" s="28"/>
      <c r="J17" s="29"/>
      <c r="K17" s="28"/>
      <c r="L17" s="28"/>
      <c r="M17" s="27"/>
      <c r="N17" s="27"/>
      <c r="O17" s="27"/>
    </row>
    <row r="18" spans="2:15" ht="39.75" customHeight="1" x14ac:dyDescent="0.25">
      <c r="B18" s="26"/>
      <c r="C18" s="27"/>
      <c r="D18" s="27"/>
      <c r="E18" s="27"/>
      <c r="F18" s="27"/>
      <c r="G18" s="27"/>
      <c r="H18" s="27"/>
      <c r="I18" s="28"/>
      <c r="J18" s="29"/>
      <c r="K18" s="28"/>
      <c r="L18" s="28"/>
      <c r="M18" s="27"/>
      <c r="N18" s="27"/>
      <c r="O18" s="27"/>
    </row>
    <row r="19" spans="2:15" ht="39.75" customHeight="1" x14ac:dyDescent="0.25">
      <c r="B19" s="26"/>
      <c r="C19" s="27"/>
      <c r="D19" s="27"/>
      <c r="E19" s="27"/>
      <c r="F19" s="27"/>
      <c r="G19" s="27"/>
      <c r="H19" s="27"/>
      <c r="I19" s="28"/>
      <c r="J19" s="29"/>
      <c r="K19" s="28"/>
      <c r="L19" s="28"/>
      <c r="M19" s="27"/>
      <c r="N19" s="27"/>
      <c r="O19" s="27"/>
    </row>
    <row r="20" spans="2:15" ht="39.75" customHeight="1" x14ac:dyDescent="0.25">
      <c r="B20" s="26"/>
      <c r="C20" s="27"/>
      <c r="D20" s="27"/>
      <c r="E20" s="27"/>
      <c r="F20" s="27"/>
      <c r="G20" s="27"/>
      <c r="H20" s="27"/>
      <c r="I20" s="28"/>
      <c r="J20" s="29"/>
      <c r="K20" s="28"/>
      <c r="L20" s="28"/>
      <c r="M20" s="27"/>
      <c r="N20" s="27"/>
      <c r="O20" s="27"/>
    </row>
    <row r="21" spans="2:15" ht="19.5" customHeight="1" x14ac:dyDescent="0.25">
      <c r="B21" s="26"/>
      <c r="C21" s="27"/>
      <c r="D21" s="27"/>
      <c r="E21" s="27"/>
      <c r="F21" s="27"/>
      <c r="G21" s="27"/>
      <c r="H21" s="27"/>
      <c r="I21" s="28"/>
      <c r="J21" s="29"/>
      <c r="K21" s="28"/>
      <c r="L21" s="28"/>
      <c r="M21" s="27"/>
      <c r="N21" s="27"/>
      <c r="O21" s="27"/>
    </row>
    <row r="22" spans="2:15" ht="19.5" customHeight="1" x14ac:dyDescent="0.25">
      <c r="I22" s="3"/>
      <c r="J22" s="3"/>
      <c r="K22" s="6"/>
      <c r="L22" s="3"/>
    </row>
    <row r="23" spans="2:15" ht="19.5" customHeight="1" x14ac:dyDescent="0.3">
      <c r="I23" s="1"/>
      <c r="J23" s="1"/>
      <c r="K23" s="2"/>
      <c r="L23" s="3"/>
    </row>
    <row r="24" spans="2:15" ht="19.5" customHeight="1" x14ac:dyDescent="0.3">
      <c r="I24" s="1"/>
      <c r="J24" s="1"/>
      <c r="K24" s="2"/>
      <c r="L24" s="3"/>
    </row>
    <row r="25" spans="2:15" ht="19.5" customHeight="1" x14ac:dyDescent="0.3">
      <c r="I25" s="1"/>
      <c r="J25" s="1"/>
      <c r="K25" s="2"/>
      <c r="L25" s="3"/>
    </row>
    <row r="26" spans="2:15" ht="19.5" customHeight="1" x14ac:dyDescent="0.25">
      <c r="I26" s="1"/>
      <c r="J26" s="1"/>
      <c r="K26" s="7"/>
      <c r="L26" s="3"/>
    </row>
    <row r="27" spans="2:15" ht="19.5" customHeight="1" x14ac:dyDescent="0.25">
      <c r="I27" s="1"/>
      <c r="J27" s="1"/>
      <c r="K27" s="7"/>
      <c r="L27" s="3"/>
    </row>
    <row r="28" spans="2:15" ht="19.5" customHeight="1" x14ac:dyDescent="0.3">
      <c r="I28" s="1"/>
      <c r="J28" s="1"/>
      <c r="K28" s="2"/>
      <c r="L28" s="3"/>
    </row>
    <row r="29" spans="2:15" ht="19.5" customHeight="1" x14ac:dyDescent="0.3">
      <c r="I29" s="1"/>
      <c r="J29" s="1"/>
      <c r="K29" s="2"/>
      <c r="L29" s="3"/>
    </row>
    <row r="30" spans="2:15" ht="19.5" customHeight="1" x14ac:dyDescent="0.3">
      <c r="I30" s="1"/>
      <c r="J30" s="1"/>
      <c r="K30" s="2"/>
      <c r="L30" s="3"/>
    </row>
    <row r="31" spans="2:15" ht="19.5" customHeight="1" x14ac:dyDescent="0.3">
      <c r="I31" s="1"/>
      <c r="J31" s="1"/>
      <c r="K31" s="2" t="s">
        <v>22</v>
      </c>
      <c r="L31" s="1" t="s">
        <v>65</v>
      </c>
      <c r="M31" s="4"/>
    </row>
    <row r="32" spans="2:15" ht="19.5" customHeight="1" x14ac:dyDescent="0.3">
      <c r="I32" s="1"/>
      <c r="J32" s="1"/>
      <c r="K32" s="2" t="s">
        <v>66</v>
      </c>
      <c r="L32" s="1" t="s">
        <v>67</v>
      </c>
      <c r="M32" s="4"/>
    </row>
    <row r="33" spans="9:13" ht="19.5" customHeight="1" x14ac:dyDescent="0.3">
      <c r="I33" s="1"/>
      <c r="J33" s="1"/>
      <c r="K33" s="2" t="s">
        <v>68</v>
      </c>
      <c r="L33" s="1" t="s">
        <v>69</v>
      </c>
      <c r="M33" s="4"/>
    </row>
    <row r="34" spans="9:13" ht="19.5" customHeight="1" x14ac:dyDescent="0.3">
      <c r="I34" s="1"/>
      <c r="J34" s="1"/>
      <c r="K34" s="2"/>
      <c r="L34" s="1" t="s">
        <v>70</v>
      </c>
      <c r="M34" s="4"/>
    </row>
    <row r="35" spans="9:13" ht="19.5" customHeight="1" x14ac:dyDescent="0.3">
      <c r="I35" s="1"/>
      <c r="J35" s="1"/>
      <c r="K35" s="2"/>
      <c r="L35" s="3"/>
    </row>
    <row r="36" spans="9:13" ht="15.75" customHeight="1" x14ac:dyDescent="0.3">
      <c r="I36" s="1"/>
      <c r="J36" s="1"/>
      <c r="K36" s="2"/>
      <c r="L36" s="3"/>
    </row>
    <row r="37" spans="9:13" ht="15.75" customHeight="1" x14ac:dyDescent="0.3">
      <c r="I37" s="1"/>
      <c r="J37" s="1"/>
      <c r="K37" s="2"/>
      <c r="L37" s="3"/>
    </row>
    <row r="38" spans="9:13" ht="15.75" customHeight="1" x14ac:dyDescent="0.3">
      <c r="I38" s="1"/>
      <c r="J38" s="1"/>
      <c r="K38" s="2"/>
      <c r="L38" s="3"/>
    </row>
    <row r="39" spans="9:13" ht="15.75" customHeight="1" x14ac:dyDescent="0.3">
      <c r="I39" s="1"/>
      <c r="J39" s="1"/>
      <c r="K39" s="2"/>
      <c r="L39" s="3"/>
    </row>
    <row r="40" spans="9:13" ht="15.75" customHeight="1" x14ac:dyDescent="0.3">
      <c r="I40" s="1"/>
      <c r="J40" s="1"/>
      <c r="K40" s="2"/>
      <c r="L40" s="3"/>
    </row>
    <row r="41" spans="9:13" ht="15.75" customHeight="1" x14ac:dyDescent="0.3">
      <c r="I41" s="1"/>
      <c r="J41" s="1"/>
      <c r="K41" s="2"/>
      <c r="L41" s="3"/>
    </row>
    <row r="42" spans="9:13" ht="15.75" customHeight="1" x14ac:dyDescent="0.3">
      <c r="I42" s="1"/>
      <c r="J42" s="1"/>
      <c r="K42" s="2"/>
      <c r="L42" s="3"/>
    </row>
    <row r="43" spans="9:13" ht="15.75" customHeight="1" x14ac:dyDescent="0.3">
      <c r="I43" s="1"/>
      <c r="J43" s="1"/>
      <c r="K43" s="2"/>
      <c r="L43" s="3"/>
    </row>
    <row r="44" spans="9:13" ht="15.75" customHeight="1" x14ac:dyDescent="0.3">
      <c r="I44" s="1"/>
      <c r="J44" s="1"/>
      <c r="K44" s="2"/>
      <c r="L44" s="3"/>
    </row>
    <row r="45" spans="9:13" ht="15.75" customHeight="1" x14ac:dyDescent="0.3">
      <c r="I45" s="1"/>
      <c r="J45" s="1"/>
      <c r="K45" s="2"/>
      <c r="L45" s="3"/>
    </row>
    <row r="46" spans="9:13" ht="15.75" customHeight="1" x14ac:dyDescent="0.3">
      <c r="I46" s="1"/>
      <c r="J46" s="1"/>
      <c r="K46" s="2"/>
      <c r="L46" s="3"/>
    </row>
    <row r="47" spans="9:13" ht="15.75" customHeight="1" x14ac:dyDescent="0.3">
      <c r="I47" s="1"/>
      <c r="J47" s="1"/>
      <c r="K47" s="2"/>
      <c r="L47" s="3"/>
    </row>
    <row r="48" spans="9:13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3">
      <c r="I999" s="1"/>
      <c r="J999" s="1"/>
      <c r="K999" s="2"/>
      <c r="L999" s="3"/>
    </row>
    <row r="1000" spans="9:12" ht="15.75" customHeight="1" x14ac:dyDescent="0.3">
      <c r="I1000" s="1"/>
      <c r="J1000" s="1"/>
      <c r="K1000" s="2"/>
      <c r="L1000" s="3"/>
    </row>
    <row r="1001" spans="9:12" ht="15.75" customHeight="1" x14ac:dyDescent="0.25">
      <c r="I1001" s="3"/>
      <c r="J1001" s="3"/>
      <c r="K1001" s="6"/>
      <c r="L1001" s="3"/>
    </row>
    <row r="1002" spans="9:12" ht="15" customHeight="1" x14ac:dyDescent="0.25">
      <c r="I1002" s="3"/>
      <c r="J1002" s="3"/>
      <c r="K1002" s="6"/>
      <c r="L1002" s="3"/>
    </row>
  </sheetData>
  <mergeCells count="1">
    <mergeCell ref="B3:O3"/>
  </mergeCells>
  <dataValidations count="2">
    <dataValidation type="list" allowBlank="1" showErrorMessage="1" sqref="L6:L10 L12:L21" xr:uid="{00000000-0002-0000-0000-000000000000}">
      <formula1>$L$31:$L$34</formula1>
    </dataValidation>
    <dataValidation type="list" allowBlank="1" showErrorMessage="1" sqref="K6:K10 K12:K21" xr:uid="{00000000-0002-0000-0000-000001000000}">
      <formula1>$K$31:$K$33</formula1>
    </dataValidation>
  </dataValidations>
  <printOptions horizontalCentered="1"/>
  <pageMargins left="0.31496062992125978" right="0.31496062992125978" top="0.74803149606299213" bottom="0.55118110236220474" header="0" footer="0"/>
  <pageSetup paperSize="9" scale="43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P1020"/>
  <sheetViews>
    <sheetView showGridLines="0" tabSelected="1" topLeftCell="A69" zoomScale="70" zoomScaleNormal="70" workbookViewId="0">
      <selection activeCell="B6" sqref="B6:P6"/>
    </sheetView>
  </sheetViews>
  <sheetFormatPr baseColWidth="10" defaultColWidth="12.59765625" defaultRowHeight="15" customHeight="1" x14ac:dyDescent="0.25"/>
  <cols>
    <col min="1" max="1" width="9.296875" customWidth="1"/>
    <col min="2" max="2" width="2.59765625" customWidth="1"/>
    <col min="3" max="15" width="10.59765625" customWidth="1"/>
    <col min="16" max="16" width="2.59765625" customWidth="1"/>
    <col min="17" max="26" width="9.296875" customWidth="1"/>
  </cols>
  <sheetData>
    <row r="2" spans="2:16" ht="15" hidden="1" customHeight="1" x14ac:dyDescent="0.25"/>
    <row r="3" spans="2:16" ht="15" hidden="1" customHeight="1" x14ac:dyDescent="0.25"/>
    <row r="4" spans="2:16" ht="14.4" hidden="1" customHeight="1" x14ac:dyDescent="0.3">
      <c r="C4" s="8"/>
      <c r="D4" s="8"/>
      <c r="E4" s="8"/>
      <c r="F4" s="4"/>
    </row>
    <row r="5" spans="2:16" ht="14.4" hidden="1" customHeight="1" x14ac:dyDescent="0.3">
      <c r="C5" s="8"/>
      <c r="D5" s="8"/>
      <c r="E5" s="8"/>
      <c r="F5" s="4"/>
    </row>
    <row r="6" spans="2:16" ht="39.75" customHeight="1" x14ac:dyDescent="0.25">
      <c r="B6" s="68" t="s">
        <v>71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3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18"/>
      <c r="C8" s="19"/>
      <c r="D8" s="19"/>
      <c r="E8" s="19"/>
      <c r="F8" s="20"/>
      <c r="G8" s="21"/>
      <c r="H8" s="21"/>
      <c r="I8" s="21"/>
      <c r="J8" s="21"/>
      <c r="K8" s="21"/>
      <c r="L8" s="21"/>
      <c r="M8" s="21"/>
      <c r="N8" s="21"/>
      <c r="O8" s="21"/>
      <c r="P8" s="22"/>
    </row>
    <row r="9" spans="2:16" ht="30" customHeight="1" x14ac:dyDescent="0.25">
      <c r="B9" s="23"/>
      <c r="C9" s="10" t="s">
        <v>1</v>
      </c>
      <c r="D9" s="11"/>
      <c r="E9" s="67" t="s">
        <v>72</v>
      </c>
      <c r="F9" s="63"/>
      <c r="G9" s="11"/>
      <c r="H9" s="67" t="s">
        <v>11</v>
      </c>
      <c r="I9" s="63"/>
      <c r="J9" s="12"/>
      <c r="K9" s="12"/>
      <c r="L9" s="12"/>
      <c r="M9" s="12"/>
      <c r="N9" s="12"/>
      <c r="O9" s="12"/>
      <c r="P9" s="24"/>
    </row>
    <row r="10" spans="2:16" ht="30" customHeight="1" x14ac:dyDescent="0.25">
      <c r="B10" s="23"/>
      <c r="C10" s="13" t="s">
        <v>15</v>
      </c>
      <c r="D10" s="14"/>
      <c r="E10" s="48" t="str">
        <f>VLOOKUP(C10,'Formato descripción HU'!B6:O21,5,0)</f>
        <v>Cliente</v>
      </c>
      <c r="F10" s="63"/>
      <c r="G10" s="15"/>
      <c r="H10" s="62" t="str">
        <f>VLOOKUP(C10,'Formato descripción HU'!B6:O21,11,0)</f>
        <v>Pendiente</v>
      </c>
      <c r="I10" s="63"/>
      <c r="J10" s="15"/>
      <c r="K10" s="12"/>
      <c r="L10" s="12"/>
      <c r="M10" s="12"/>
      <c r="N10" s="12"/>
      <c r="O10" s="12"/>
      <c r="P10" s="24"/>
    </row>
    <row r="11" spans="2:16" ht="9.75" customHeight="1" x14ac:dyDescent="0.25">
      <c r="B11" s="23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4"/>
    </row>
    <row r="12" spans="2:16" ht="30" customHeight="1" x14ac:dyDescent="0.25">
      <c r="B12" s="23"/>
      <c r="C12" s="10" t="s">
        <v>73</v>
      </c>
      <c r="D12" s="14"/>
      <c r="E12" s="67" t="s">
        <v>10</v>
      </c>
      <c r="F12" s="63"/>
      <c r="G12" s="15"/>
      <c r="H12" s="67" t="s">
        <v>74</v>
      </c>
      <c r="I12" s="63"/>
      <c r="J12" s="15"/>
      <c r="K12" s="17"/>
      <c r="L12" s="17"/>
      <c r="M12" s="12"/>
      <c r="N12" s="17"/>
      <c r="O12" s="17"/>
      <c r="P12" s="24"/>
    </row>
    <row r="13" spans="2:16" ht="30" customHeight="1" x14ac:dyDescent="0.25">
      <c r="B13" s="23"/>
      <c r="C13" s="13">
        <f>VLOOKUP('Historia de Usuario'!C10,'Formato descripción HU'!B6:O21,8,0)</f>
        <v>6</v>
      </c>
      <c r="D13" s="14"/>
      <c r="E13" s="62" t="str">
        <f>VLOOKUP(C10,'Formato descripción HU'!B6:O21,10,0)</f>
        <v>Alta</v>
      </c>
      <c r="F13" s="63"/>
      <c r="G13" s="15"/>
      <c r="H13" s="62" t="str">
        <f>VLOOKUP(C10,'Formato descripción HU'!B6:O21,7,0)</f>
        <v>Anthony Guaycha</v>
      </c>
      <c r="I13" s="63"/>
      <c r="J13" s="15"/>
      <c r="K13" s="17"/>
      <c r="L13" s="17"/>
      <c r="M13" s="12"/>
      <c r="N13" s="17"/>
      <c r="O13" s="17"/>
      <c r="P13" s="24"/>
    </row>
    <row r="14" spans="2:16" ht="9.75" customHeight="1" x14ac:dyDescent="0.25">
      <c r="B14" s="23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4"/>
    </row>
    <row r="15" spans="2:16" ht="19.5" customHeight="1" x14ac:dyDescent="0.25">
      <c r="B15" s="23"/>
      <c r="C15" s="73" t="s">
        <v>75</v>
      </c>
      <c r="D15" s="48" t="str">
        <f>VLOOKUP(C10,'Formato descripción HU'!B6:O21,3,0)</f>
        <v>Permitir a los clientes realizar pedidos en línea.</v>
      </c>
      <c r="E15" s="50"/>
      <c r="F15" s="12"/>
      <c r="G15" s="73" t="s">
        <v>76</v>
      </c>
      <c r="H15" s="48" t="str">
        <f>VLOOKUP(C10,'Formato descripción HU'!B6:O21,4,0)</f>
        <v>Automatizar el proceso de ventas del producto MPG-CAPS.</v>
      </c>
      <c r="I15" s="49"/>
      <c r="J15" s="50"/>
      <c r="K15" s="12"/>
      <c r="L15" s="64" t="s">
        <v>77</v>
      </c>
      <c r="M15" s="71" t="str">
        <f>VLOOKUP(C10,'Formato descripción HU'!B6:O21,6,0)</f>
        <v>Registrar datos del cliente y generar pedidos automáticos desde la plataforma web.</v>
      </c>
      <c r="N15" s="49"/>
      <c r="O15" s="50"/>
      <c r="P15" s="24"/>
    </row>
    <row r="16" spans="2:16" ht="19.5" customHeight="1" x14ac:dyDescent="0.25">
      <c r="B16" s="23"/>
      <c r="C16" s="65"/>
      <c r="D16" s="51"/>
      <c r="E16" s="52"/>
      <c r="F16" s="12"/>
      <c r="G16" s="65"/>
      <c r="H16" s="51"/>
      <c r="I16" s="47"/>
      <c r="J16" s="52"/>
      <c r="K16" s="12"/>
      <c r="L16" s="65"/>
      <c r="M16" s="51"/>
      <c r="N16" s="47"/>
      <c r="O16" s="52"/>
      <c r="P16" s="24"/>
    </row>
    <row r="17" spans="1:16" ht="19.5" customHeight="1" x14ac:dyDescent="0.25">
      <c r="B17" s="23"/>
      <c r="C17" s="66"/>
      <c r="D17" s="53"/>
      <c r="E17" s="55"/>
      <c r="F17" s="12"/>
      <c r="G17" s="66"/>
      <c r="H17" s="53"/>
      <c r="I17" s="54"/>
      <c r="J17" s="55"/>
      <c r="K17" s="12"/>
      <c r="L17" s="66"/>
      <c r="M17" s="53"/>
      <c r="N17" s="54"/>
      <c r="O17" s="55"/>
      <c r="P17" s="24"/>
    </row>
    <row r="18" spans="1:16" ht="9.75" customHeight="1" x14ac:dyDescent="0.25">
      <c r="B18" s="23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4"/>
    </row>
    <row r="19" spans="1:16" ht="19.5" customHeight="1" x14ac:dyDescent="0.25">
      <c r="B19" s="23"/>
      <c r="C19" s="70" t="s">
        <v>78</v>
      </c>
      <c r="D19" s="50"/>
      <c r="E19" s="56" t="str">
        <f>VLOOKUP(C10,'Formato descripción HU'!B6:O20,14,0)</f>
        <v>Registro de pedidos en línea</v>
      </c>
      <c r="F19" s="57"/>
      <c r="G19" s="57"/>
      <c r="H19" s="57"/>
      <c r="I19" s="57"/>
      <c r="J19" s="57"/>
      <c r="K19" s="57"/>
      <c r="L19" s="57"/>
      <c r="M19" s="57"/>
      <c r="N19" s="57"/>
      <c r="O19" s="58"/>
      <c r="P19" s="24"/>
    </row>
    <row r="20" spans="1:16" ht="19.5" customHeight="1" x14ac:dyDescent="0.25">
      <c r="B20" s="23"/>
      <c r="C20" s="53"/>
      <c r="D20" s="55"/>
      <c r="E20" s="59"/>
      <c r="F20" s="60"/>
      <c r="G20" s="60"/>
      <c r="H20" s="60"/>
      <c r="I20" s="60"/>
      <c r="J20" s="60"/>
      <c r="K20" s="60"/>
      <c r="L20" s="60"/>
      <c r="M20" s="60"/>
      <c r="N20" s="60"/>
      <c r="O20" s="61"/>
      <c r="P20" s="24"/>
    </row>
    <row r="21" spans="1:16" ht="9.75" customHeight="1" x14ac:dyDescent="0.25">
      <c r="B21" s="23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4"/>
    </row>
    <row r="22" spans="1:16" ht="19.5" customHeight="1" x14ac:dyDescent="0.25">
      <c r="B22" s="23"/>
      <c r="C22" s="67" t="s">
        <v>79</v>
      </c>
      <c r="D22" s="50"/>
      <c r="E22" s="48" t="str">
        <f>VLOOKUP(C10,'Formato descripción HU'!B6:O21,12,0)</f>
        <v>Verificar que el pedido quede registrado correctamente en la base de datos.</v>
      </c>
      <c r="F22" s="49"/>
      <c r="G22" s="49"/>
      <c r="H22" s="50"/>
      <c r="I22" s="12"/>
      <c r="J22" s="67" t="s">
        <v>13</v>
      </c>
      <c r="K22" s="50"/>
      <c r="L22" s="48" t="str">
        <f>VLOOKUP(C10,'Formato descripción HU'!B6:O21,13,0)</f>
        <v>Se debe validar información obligatoria.</v>
      </c>
      <c r="M22" s="49"/>
      <c r="N22" s="49"/>
      <c r="O22" s="50"/>
      <c r="P22" s="24"/>
    </row>
    <row r="23" spans="1:16" ht="19.5" customHeight="1" x14ac:dyDescent="0.25">
      <c r="B23" s="23"/>
      <c r="C23" s="51"/>
      <c r="D23" s="52"/>
      <c r="E23" s="51"/>
      <c r="F23" s="47"/>
      <c r="G23" s="47"/>
      <c r="H23" s="52"/>
      <c r="I23" s="12"/>
      <c r="J23" s="51"/>
      <c r="K23" s="52"/>
      <c r="L23" s="51"/>
      <c r="M23" s="47"/>
      <c r="N23" s="47"/>
      <c r="O23" s="52"/>
      <c r="P23" s="24"/>
    </row>
    <row r="24" spans="1:16" ht="19.5" customHeight="1" x14ac:dyDescent="0.25">
      <c r="B24" s="23"/>
      <c r="C24" s="53"/>
      <c r="D24" s="55"/>
      <c r="E24" s="53"/>
      <c r="F24" s="54"/>
      <c r="G24" s="54"/>
      <c r="H24" s="55"/>
      <c r="I24" s="12"/>
      <c r="J24" s="53"/>
      <c r="K24" s="55"/>
      <c r="L24" s="53"/>
      <c r="M24" s="54"/>
      <c r="N24" s="54"/>
      <c r="O24" s="55"/>
      <c r="P24" s="24"/>
    </row>
    <row r="25" spans="1:16" ht="39.75" customHeight="1" x14ac:dyDescent="0.25">
      <c r="A25" s="25"/>
      <c r="B25" s="68" t="s">
        <v>71</v>
      </c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3"/>
    </row>
    <row r="26" spans="1:16" ht="9.75" customHeight="1" x14ac:dyDescent="0.25">
      <c r="A26" s="25"/>
      <c r="B26" s="25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25"/>
    </row>
    <row r="27" spans="1:16" ht="9.75" customHeight="1" x14ac:dyDescent="0.3">
      <c r="A27" s="25"/>
      <c r="B27" s="18"/>
      <c r="C27" s="19"/>
      <c r="D27" s="19"/>
      <c r="E27" s="19"/>
      <c r="F27" s="20"/>
      <c r="G27" s="21"/>
      <c r="H27" s="21"/>
      <c r="I27" s="21"/>
      <c r="J27" s="21"/>
      <c r="K27" s="21"/>
      <c r="L27" s="21"/>
      <c r="M27" s="21"/>
      <c r="N27" s="21"/>
      <c r="O27" s="21"/>
      <c r="P27" s="22"/>
    </row>
    <row r="28" spans="1:16" ht="30" customHeight="1" x14ac:dyDescent="0.25">
      <c r="A28" s="25"/>
      <c r="B28" s="23"/>
      <c r="C28" s="43" t="s">
        <v>1</v>
      </c>
      <c r="D28" s="11"/>
      <c r="E28" s="72" t="s">
        <v>72</v>
      </c>
      <c r="F28" s="63"/>
      <c r="G28" s="11"/>
      <c r="H28" s="72" t="s">
        <v>11</v>
      </c>
      <c r="I28" s="63"/>
      <c r="J28" s="12"/>
      <c r="K28" s="12"/>
      <c r="L28" s="12"/>
      <c r="M28" s="12"/>
      <c r="N28" s="12"/>
      <c r="O28" s="12"/>
      <c r="P28" s="24"/>
    </row>
    <row r="29" spans="1:16" ht="30" customHeight="1" x14ac:dyDescent="0.25">
      <c r="A29" s="25"/>
      <c r="B29" s="23"/>
      <c r="C29" s="44" t="s">
        <v>27</v>
      </c>
      <c r="D29" s="14"/>
      <c r="E29" s="48" t="str">
        <f>VLOOKUP(C10,'Formato descripción HU'!B6:O21,5,0)</f>
        <v>Cliente</v>
      </c>
      <c r="F29" s="63"/>
      <c r="G29" s="15"/>
      <c r="H29" s="62" t="str">
        <f>VLOOKUP(C10,'Formato descripción HU'!B6:O21,11,0)</f>
        <v>Pendiente</v>
      </c>
      <c r="I29" s="63"/>
      <c r="J29" s="15"/>
      <c r="K29" s="12"/>
      <c r="L29" s="12"/>
      <c r="M29" s="12"/>
      <c r="N29" s="12"/>
      <c r="O29" s="12"/>
      <c r="P29" s="24"/>
    </row>
    <row r="30" spans="1:16" ht="9.75" customHeight="1" x14ac:dyDescent="0.25">
      <c r="A30" s="25"/>
      <c r="B30" s="23"/>
      <c r="C30" s="45"/>
      <c r="D30" s="14"/>
      <c r="E30" s="17"/>
      <c r="F30" s="17"/>
      <c r="G30" s="15"/>
      <c r="H30" s="17"/>
      <c r="I30" s="17"/>
      <c r="J30" s="15"/>
      <c r="K30" s="17"/>
      <c r="L30" s="17"/>
      <c r="M30" s="12"/>
      <c r="N30" s="17"/>
      <c r="O30" s="17"/>
      <c r="P30" s="24"/>
    </row>
    <row r="31" spans="1:16" ht="30" customHeight="1" x14ac:dyDescent="0.25">
      <c r="A31" s="25"/>
      <c r="B31" s="23"/>
      <c r="C31" s="43" t="s">
        <v>73</v>
      </c>
      <c r="D31" s="14"/>
      <c r="E31" s="72" t="s">
        <v>10</v>
      </c>
      <c r="F31" s="63"/>
      <c r="G31" s="15"/>
      <c r="H31" s="72" t="s">
        <v>74</v>
      </c>
      <c r="I31" s="63"/>
      <c r="J31" s="15"/>
      <c r="K31" s="17"/>
      <c r="L31" s="17"/>
      <c r="M31" s="12"/>
      <c r="N31" s="17"/>
      <c r="O31" s="17"/>
      <c r="P31" s="24"/>
    </row>
    <row r="32" spans="1:16" ht="30" customHeight="1" x14ac:dyDescent="0.25">
      <c r="A32" s="25"/>
      <c r="B32" s="23"/>
      <c r="C32" s="44">
        <f>VLOOKUP('Historia de Usuario'!C10,'Formato descripción HU'!B6:O21,8,0)</f>
        <v>6</v>
      </c>
      <c r="D32" s="14"/>
      <c r="E32" s="62" t="str">
        <f>VLOOKUP(C10,'Formato descripción HU'!B6:O21,10,0)</f>
        <v>Alta</v>
      </c>
      <c r="F32" s="63"/>
      <c r="G32" s="15"/>
      <c r="H32" s="62" t="str">
        <f>VLOOKUP(C10,'Formato descripción HU'!B6:O21,7,0)</f>
        <v>Anthony Guaycha</v>
      </c>
      <c r="I32" s="63"/>
      <c r="J32" s="15"/>
      <c r="K32" s="17"/>
      <c r="L32" s="17"/>
      <c r="M32" s="12"/>
      <c r="N32" s="17"/>
      <c r="O32" s="17"/>
      <c r="P32" s="24"/>
    </row>
    <row r="33" spans="1:16" ht="9.75" customHeight="1" x14ac:dyDescent="0.25">
      <c r="A33" s="25"/>
      <c r="B33" s="23"/>
      <c r="C33" s="12"/>
      <c r="D33" s="14"/>
      <c r="E33" s="12"/>
      <c r="F33" s="12"/>
      <c r="G33" s="15"/>
      <c r="H33" s="15"/>
      <c r="I33" s="12"/>
      <c r="J33" s="12"/>
      <c r="K33" s="12"/>
      <c r="L33" s="12"/>
      <c r="M33" s="12"/>
      <c r="N33" s="12"/>
      <c r="O33" s="12"/>
      <c r="P33" s="24"/>
    </row>
    <row r="34" spans="1:16" ht="19.5" customHeight="1" x14ac:dyDescent="0.25">
      <c r="A34" s="25"/>
      <c r="B34" s="23"/>
      <c r="C34" s="64" t="s">
        <v>75</v>
      </c>
      <c r="D34" s="48" t="str">
        <f>VLOOKUP(C10,'Formato descripción HU'!B6:O21,3,0)</f>
        <v>Permitir a los clientes realizar pedidos en línea.</v>
      </c>
      <c r="E34" s="50"/>
      <c r="F34" s="12"/>
      <c r="G34" s="64" t="s">
        <v>76</v>
      </c>
      <c r="H34" s="48" t="str">
        <f>VLOOKUP(C10,'Formato descripción HU'!B6:O21,4,0)</f>
        <v>Automatizar el proceso de ventas del producto MPG-CAPS.</v>
      </c>
      <c r="I34" s="49"/>
      <c r="J34" s="50"/>
      <c r="K34" s="12"/>
      <c r="L34" s="64" t="s">
        <v>77</v>
      </c>
      <c r="M34" s="71" t="str">
        <f>VLOOKUP(C10,'Formato descripción HU'!B6:O21,6,0)</f>
        <v>Registrar datos del cliente y generar pedidos automáticos desde la plataforma web.</v>
      </c>
      <c r="N34" s="49"/>
      <c r="O34" s="50"/>
      <c r="P34" s="24"/>
    </row>
    <row r="35" spans="1:16" ht="19.5" customHeight="1" x14ac:dyDescent="0.25">
      <c r="A35" s="25"/>
      <c r="B35" s="23"/>
      <c r="C35" s="65"/>
      <c r="D35" s="51"/>
      <c r="E35" s="52"/>
      <c r="F35" s="12"/>
      <c r="G35" s="65"/>
      <c r="H35" s="51"/>
      <c r="I35" s="47"/>
      <c r="J35" s="52"/>
      <c r="K35" s="12"/>
      <c r="L35" s="65"/>
      <c r="M35" s="51"/>
      <c r="N35" s="47"/>
      <c r="O35" s="52"/>
      <c r="P35" s="24"/>
    </row>
    <row r="36" spans="1:16" ht="19.5" customHeight="1" x14ac:dyDescent="0.25">
      <c r="A36" s="25"/>
      <c r="B36" s="23"/>
      <c r="C36" s="66"/>
      <c r="D36" s="53"/>
      <c r="E36" s="55"/>
      <c r="F36" s="12"/>
      <c r="G36" s="66"/>
      <c r="H36" s="53"/>
      <c r="I36" s="54"/>
      <c r="J36" s="55"/>
      <c r="K36" s="12"/>
      <c r="L36" s="66"/>
      <c r="M36" s="53"/>
      <c r="N36" s="54"/>
      <c r="O36" s="55"/>
      <c r="P36" s="24"/>
    </row>
    <row r="37" spans="1:16" ht="9.75" customHeight="1" x14ac:dyDescent="0.25">
      <c r="A37" s="25"/>
      <c r="B37" s="23"/>
      <c r="C37" s="12"/>
      <c r="D37" s="12"/>
      <c r="E37" s="12"/>
      <c r="F37" s="12"/>
      <c r="G37" s="15"/>
      <c r="H37" s="15"/>
      <c r="I37" s="15"/>
      <c r="J37" s="12"/>
      <c r="K37" s="12"/>
      <c r="L37" s="12"/>
      <c r="M37" s="12"/>
      <c r="N37" s="12"/>
      <c r="O37" s="12"/>
      <c r="P37" s="24"/>
    </row>
    <row r="38" spans="1:16" ht="19.5" customHeight="1" x14ac:dyDescent="0.25">
      <c r="A38" s="25"/>
      <c r="B38" s="23"/>
      <c r="C38" s="70" t="s">
        <v>78</v>
      </c>
      <c r="D38" s="50"/>
      <c r="E38" s="56" t="str">
        <f>VLOOKUP(C10,'Formato descripción HU'!B6:O20,14,0)</f>
        <v>Registro de pedidos en línea</v>
      </c>
      <c r="F38" s="57"/>
      <c r="G38" s="57"/>
      <c r="H38" s="57"/>
      <c r="I38" s="57"/>
      <c r="J38" s="57"/>
      <c r="K38" s="57"/>
      <c r="L38" s="57"/>
      <c r="M38" s="57"/>
      <c r="N38" s="57"/>
      <c r="O38" s="58"/>
      <c r="P38" s="24"/>
    </row>
    <row r="39" spans="1:16" ht="19.5" customHeight="1" x14ac:dyDescent="0.25">
      <c r="A39" s="25"/>
      <c r="B39" s="23"/>
      <c r="C39" s="53"/>
      <c r="D39" s="55"/>
      <c r="E39" s="59"/>
      <c r="F39" s="60"/>
      <c r="G39" s="60"/>
      <c r="H39" s="60"/>
      <c r="I39" s="60"/>
      <c r="J39" s="60"/>
      <c r="K39" s="60"/>
      <c r="L39" s="60"/>
      <c r="M39" s="60"/>
      <c r="N39" s="60"/>
      <c r="O39" s="61"/>
      <c r="P39" s="24"/>
    </row>
    <row r="40" spans="1:16" ht="9.75" customHeight="1" x14ac:dyDescent="0.25">
      <c r="A40" s="25"/>
      <c r="B40" s="23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24"/>
    </row>
    <row r="41" spans="1:16" ht="19.5" customHeight="1" x14ac:dyDescent="0.25">
      <c r="A41" s="25"/>
      <c r="B41" s="23"/>
      <c r="C41" s="72" t="s">
        <v>79</v>
      </c>
      <c r="D41" s="50"/>
      <c r="E41" s="48" t="str">
        <f>VLOOKUP(C10,'Formato descripción HU'!B6:O21,12,0)</f>
        <v>Verificar que el pedido quede registrado correctamente en la base de datos.</v>
      </c>
      <c r="F41" s="49"/>
      <c r="G41" s="49"/>
      <c r="H41" s="50"/>
      <c r="I41" s="12"/>
      <c r="J41" s="72" t="s">
        <v>13</v>
      </c>
      <c r="K41" s="50"/>
      <c r="L41" s="48" t="str">
        <f>VLOOKUP(C10,'Formato descripción HU'!B6:O21,13,0)</f>
        <v>Se debe validar información obligatoria.</v>
      </c>
      <c r="M41" s="49"/>
      <c r="N41" s="49"/>
      <c r="O41" s="50"/>
      <c r="P41" s="24"/>
    </row>
    <row r="42" spans="1:16" ht="19.5" customHeight="1" x14ac:dyDescent="0.25">
      <c r="A42" s="25"/>
      <c r="B42" s="23"/>
      <c r="C42" s="51"/>
      <c r="D42" s="52"/>
      <c r="E42" s="51"/>
      <c r="F42" s="47"/>
      <c r="G42" s="47"/>
      <c r="H42" s="52"/>
      <c r="I42" s="12"/>
      <c r="J42" s="51"/>
      <c r="K42" s="52"/>
      <c r="L42" s="51"/>
      <c r="M42" s="47"/>
      <c r="N42" s="47"/>
      <c r="O42" s="52"/>
      <c r="P42" s="24"/>
    </row>
    <row r="43" spans="1:16" ht="19.5" customHeight="1" x14ac:dyDescent="0.25">
      <c r="A43" s="25"/>
      <c r="B43" s="23"/>
      <c r="C43" s="53"/>
      <c r="D43" s="55"/>
      <c r="E43" s="53"/>
      <c r="F43" s="54"/>
      <c r="G43" s="54"/>
      <c r="H43" s="55"/>
      <c r="I43" s="12"/>
      <c r="J43" s="53"/>
      <c r="K43" s="55"/>
      <c r="L43" s="53"/>
      <c r="M43" s="54"/>
      <c r="N43" s="54"/>
      <c r="O43" s="55"/>
      <c r="P43" s="24"/>
    </row>
    <row r="44" spans="1:16" ht="39.75" customHeight="1" x14ac:dyDescent="0.25">
      <c r="A44" s="25"/>
      <c r="B44" s="68" t="s">
        <v>71</v>
      </c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3"/>
    </row>
    <row r="45" spans="1:16" ht="9.75" customHeight="1" x14ac:dyDescent="0.25">
      <c r="A45" s="25"/>
      <c r="B45" s="25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25"/>
    </row>
    <row r="46" spans="1:16" ht="9.75" customHeight="1" x14ac:dyDescent="0.3">
      <c r="A46" s="25"/>
      <c r="B46" s="18"/>
      <c r="C46" s="19"/>
      <c r="D46" s="19"/>
      <c r="E46" s="19"/>
      <c r="F46" s="20"/>
      <c r="G46" s="21"/>
      <c r="H46" s="21"/>
      <c r="I46" s="21"/>
      <c r="J46" s="21"/>
      <c r="K46" s="21"/>
      <c r="L46" s="21"/>
      <c r="M46" s="21"/>
      <c r="N46" s="21"/>
      <c r="O46" s="21"/>
      <c r="P46" s="22"/>
    </row>
    <row r="47" spans="1:16" ht="30" customHeight="1" x14ac:dyDescent="0.25">
      <c r="A47" s="25"/>
      <c r="B47" s="23"/>
      <c r="C47" s="43" t="s">
        <v>1</v>
      </c>
      <c r="D47" s="11"/>
      <c r="E47" s="72" t="s">
        <v>72</v>
      </c>
      <c r="F47" s="63"/>
      <c r="G47" s="11"/>
      <c r="H47" s="72" t="s">
        <v>11</v>
      </c>
      <c r="I47" s="63"/>
      <c r="J47" s="12"/>
      <c r="K47" s="12"/>
      <c r="L47" s="12"/>
      <c r="M47" s="12"/>
      <c r="N47" s="12"/>
      <c r="O47" s="12"/>
      <c r="P47" s="24"/>
    </row>
    <row r="48" spans="1:16" ht="30" customHeight="1" x14ac:dyDescent="0.25">
      <c r="A48" s="25"/>
      <c r="B48" s="23"/>
      <c r="C48" s="44" t="s">
        <v>37</v>
      </c>
      <c r="D48" s="14"/>
      <c r="E48" s="48" t="str">
        <f>VLOOKUP(C10,'Formato descripción HU'!B6:O21,5,0)</f>
        <v>Cliente</v>
      </c>
      <c r="F48" s="63"/>
      <c r="G48" s="15"/>
      <c r="H48" s="62" t="str">
        <f>VLOOKUP(C10,'Formato descripción HU'!B6:O21,11,0)</f>
        <v>Pendiente</v>
      </c>
      <c r="I48" s="63"/>
      <c r="J48" s="15"/>
      <c r="K48" s="12"/>
      <c r="L48" s="12"/>
      <c r="M48" s="12"/>
      <c r="N48" s="12"/>
      <c r="O48" s="12"/>
      <c r="P48" s="24"/>
    </row>
    <row r="49" spans="1:16" ht="9.75" customHeight="1" x14ac:dyDescent="0.25">
      <c r="A49" s="25"/>
      <c r="B49" s="23"/>
      <c r="C49" s="45"/>
      <c r="D49" s="14"/>
      <c r="E49" s="17"/>
      <c r="F49" s="17"/>
      <c r="G49" s="15"/>
      <c r="H49" s="17"/>
      <c r="I49" s="17"/>
      <c r="J49" s="15"/>
      <c r="K49" s="17"/>
      <c r="L49" s="17"/>
      <c r="M49" s="12"/>
      <c r="N49" s="17"/>
      <c r="O49" s="17"/>
      <c r="P49" s="24"/>
    </row>
    <row r="50" spans="1:16" ht="30" customHeight="1" x14ac:dyDescent="0.25">
      <c r="A50" s="25"/>
      <c r="B50" s="23"/>
      <c r="C50" s="43" t="s">
        <v>73</v>
      </c>
      <c r="D50" s="14"/>
      <c r="E50" s="72" t="s">
        <v>10</v>
      </c>
      <c r="F50" s="63"/>
      <c r="G50" s="15"/>
      <c r="H50" s="72" t="s">
        <v>74</v>
      </c>
      <c r="I50" s="63"/>
      <c r="J50" s="15"/>
      <c r="K50" s="17"/>
      <c r="L50" s="17"/>
      <c r="M50" s="12"/>
      <c r="N50" s="17"/>
      <c r="O50" s="17"/>
      <c r="P50" s="24"/>
    </row>
    <row r="51" spans="1:16" ht="30" customHeight="1" x14ac:dyDescent="0.25">
      <c r="A51" s="25"/>
      <c r="B51" s="23"/>
      <c r="C51" s="44">
        <f>VLOOKUP('Historia de Usuario'!C10,'Formato descripción HU'!B6:O21,8,0)</f>
        <v>6</v>
      </c>
      <c r="D51" s="14"/>
      <c r="E51" s="62" t="str">
        <f>VLOOKUP(C10,'Formato descripción HU'!B6:O21,10,0)</f>
        <v>Alta</v>
      </c>
      <c r="F51" s="63"/>
      <c r="G51" s="15"/>
      <c r="H51" s="62" t="str">
        <f>VLOOKUP(C10,'Formato descripción HU'!B6:O21,7,0)</f>
        <v>Anthony Guaycha</v>
      </c>
      <c r="I51" s="63"/>
      <c r="J51" s="15"/>
      <c r="K51" s="17"/>
      <c r="L51" s="17"/>
      <c r="M51" s="12"/>
      <c r="N51" s="17"/>
      <c r="O51" s="17"/>
      <c r="P51" s="24"/>
    </row>
    <row r="52" spans="1:16" ht="9.75" customHeight="1" x14ac:dyDescent="0.25">
      <c r="A52" s="25"/>
      <c r="B52" s="23"/>
      <c r="C52" s="12"/>
      <c r="D52" s="14"/>
      <c r="E52" s="12"/>
      <c r="F52" s="12"/>
      <c r="G52" s="15"/>
      <c r="H52" s="15"/>
      <c r="I52" s="12"/>
      <c r="J52" s="12"/>
      <c r="K52" s="12"/>
      <c r="L52" s="12"/>
      <c r="M52" s="12"/>
      <c r="N52" s="12"/>
      <c r="O52" s="12"/>
      <c r="P52" s="24"/>
    </row>
    <row r="53" spans="1:16" ht="19.5" customHeight="1" x14ac:dyDescent="0.25">
      <c r="A53" s="25"/>
      <c r="B53" s="23"/>
      <c r="C53" s="64" t="s">
        <v>75</v>
      </c>
      <c r="D53" s="48" t="str">
        <f>VLOOKUP(C10,'Formato descripción HU'!B6:O21,3,0)</f>
        <v>Permitir a los clientes realizar pedidos en línea.</v>
      </c>
      <c r="E53" s="50"/>
      <c r="F53" s="12"/>
      <c r="G53" s="64" t="s">
        <v>76</v>
      </c>
      <c r="H53" s="48" t="str">
        <f>VLOOKUP(C10,'Formato descripción HU'!B6:O21,4,0)</f>
        <v>Automatizar el proceso de ventas del producto MPG-CAPS.</v>
      </c>
      <c r="I53" s="49"/>
      <c r="J53" s="50"/>
      <c r="K53" s="12"/>
      <c r="L53" s="64" t="s">
        <v>77</v>
      </c>
      <c r="M53" s="71" t="str">
        <f>VLOOKUP(C10,'Formato descripción HU'!B6:O21,6,0)</f>
        <v>Registrar datos del cliente y generar pedidos automáticos desde la plataforma web.</v>
      </c>
      <c r="N53" s="49"/>
      <c r="O53" s="50"/>
      <c r="P53" s="24"/>
    </row>
    <row r="54" spans="1:16" ht="19.5" customHeight="1" x14ac:dyDescent="0.25">
      <c r="A54" s="25"/>
      <c r="B54" s="23"/>
      <c r="C54" s="65"/>
      <c r="D54" s="51"/>
      <c r="E54" s="52"/>
      <c r="F54" s="12"/>
      <c r="G54" s="65"/>
      <c r="H54" s="51"/>
      <c r="I54" s="47"/>
      <c r="J54" s="52"/>
      <c r="K54" s="12"/>
      <c r="L54" s="65"/>
      <c r="M54" s="51"/>
      <c r="N54" s="47"/>
      <c r="O54" s="52"/>
      <c r="P54" s="24"/>
    </row>
    <row r="55" spans="1:16" ht="19.5" customHeight="1" x14ac:dyDescent="0.25">
      <c r="A55" s="25"/>
      <c r="B55" s="23"/>
      <c r="C55" s="66"/>
      <c r="D55" s="53"/>
      <c r="E55" s="55"/>
      <c r="F55" s="12"/>
      <c r="G55" s="66"/>
      <c r="H55" s="53"/>
      <c r="I55" s="54"/>
      <c r="J55" s="55"/>
      <c r="K55" s="12"/>
      <c r="L55" s="66"/>
      <c r="M55" s="53"/>
      <c r="N55" s="54"/>
      <c r="O55" s="55"/>
      <c r="P55" s="24"/>
    </row>
    <row r="56" spans="1:16" ht="9.75" customHeight="1" x14ac:dyDescent="0.25">
      <c r="A56" s="25"/>
      <c r="B56" s="23"/>
      <c r="C56" s="12"/>
      <c r="D56" s="12"/>
      <c r="E56" s="12"/>
      <c r="F56" s="12"/>
      <c r="G56" s="15"/>
      <c r="H56" s="15"/>
      <c r="I56" s="15"/>
      <c r="J56" s="12"/>
      <c r="K56" s="12"/>
      <c r="L56" s="12"/>
      <c r="M56" s="12"/>
      <c r="N56" s="12"/>
      <c r="O56" s="12"/>
      <c r="P56" s="24"/>
    </row>
    <row r="57" spans="1:16" ht="19.5" customHeight="1" x14ac:dyDescent="0.25">
      <c r="A57" s="25"/>
      <c r="B57" s="23"/>
      <c r="C57" s="70" t="s">
        <v>78</v>
      </c>
      <c r="D57" s="50"/>
      <c r="E57" s="56" t="str">
        <f>VLOOKUP(C10,'Formato descripción HU'!B6:O20,14,0)</f>
        <v>Registro de pedidos en línea</v>
      </c>
      <c r="F57" s="57"/>
      <c r="G57" s="57"/>
      <c r="H57" s="57"/>
      <c r="I57" s="57"/>
      <c r="J57" s="57"/>
      <c r="K57" s="57"/>
      <c r="L57" s="57"/>
      <c r="M57" s="57"/>
      <c r="N57" s="57"/>
      <c r="O57" s="58"/>
      <c r="P57" s="24"/>
    </row>
    <row r="58" spans="1:16" ht="19.5" customHeight="1" x14ac:dyDescent="0.25">
      <c r="A58" s="25"/>
      <c r="B58" s="23"/>
      <c r="C58" s="53"/>
      <c r="D58" s="55"/>
      <c r="E58" s="59"/>
      <c r="F58" s="60"/>
      <c r="G58" s="60"/>
      <c r="H58" s="60"/>
      <c r="I58" s="60"/>
      <c r="J58" s="60"/>
      <c r="K58" s="60"/>
      <c r="L58" s="60"/>
      <c r="M58" s="60"/>
      <c r="N58" s="60"/>
      <c r="O58" s="61"/>
      <c r="P58" s="24"/>
    </row>
    <row r="59" spans="1:16" ht="9.75" customHeight="1" x14ac:dyDescent="0.25">
      <c r="A59" s="25"/>
      <c r="B59" s="23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24"/>
    </row>
    <row r="60" spans="1:16" ht="19.5" customHeight="1" x14ac:dyDescent="0.25">
      <c r="A60" s="25"/>
      <c r="B60" s="23"/>
      <c r="C60" s="72" t="s">
        <v>79</v>
      </c>
      <c r="D60" s="50"/>
      <c r="E60" s="48" t="str">
        <f>VLOOKUP(C10,'Formato descripción HU'!B6:O21,12,0)</f>
        <v>Verificar que el pedido quede registrado correctamente en la base de datos.</v>
      </c>
      <c r="F60" s="49"/>
      <c r="G60" s="49"/>
      <c r="H60" s="50"/>
      <c r="I60" s="12"/>
      <c r="J60" s="72" t="s">
        <v>13</v>
      </c>
      <c r="K60" s="50"/>
      <c r="L60" s="48" t="str">
        <f>VLOOKUP(C10,'Formato descripción HU'!B6:O21,13,0)</f>
        <v>Se debe validar información obligatoria.</v>
      </c>
      <c r="M60" s="49"/>
      <c r="N60" s="49"/>
      <c r="O60" s="50"/>
      <c r="P60" s="24"/>
    </row>
    <row r="61" spans="1:16" ht="19.5" customHeight="1" x14ac:dyDescent="0.25">
      <c r="A61" s="25"/>
      <c r="B61" s="23"/>
      <c r="C61" s="51"/>
      <c r="D61" s="52"/>
      <c r="E61" s="51"/>
      <c r="F61" s="47"/>
      <c r="G61" s="47"/>
      <c r="H61" s="52"/>
      <c r="I61" s="12"/>
      <c r="J61" s="51"/>
      <c r="K61" s="52"/>
      <c r="L61" s="51"/>
      <c r="M61" s="47"/>
      <c r="N61" s="47"/>
      <c r="O61" s="52"/>
      <c r="P61" s="24"/>
    </row>
    <row r="62" spans="1:16" ht="19.5" customHeight="1" x14ac:dyDescent="0.25">
      <c r="A62" s="25"/>
      <c r="B62" s="23"/>
      <c r="C62" s="53"/>
      <c r="D62" s="55"/>
      <c r="E62" s="53"/>
      <c r="F62" s="54"/>
      <c r="G62" s="54"/>
      <c r="H62" s="55"/>
      <c r="I62" s="12"/>
      <c r="J62" s="53"/>
      <c r="K62" s="55"/>
      <c r="L62" s="53"/>
      <c r="M62" s="54"/>
      <c r="N62" s="54"/>
      <c r="O62" s="55"/>
      <c r="P62" s="24"/>
    </row>
    <row r="63" spans="1:16" ht="39.75" customHeight="1" x14ac:dyDescent="0.25">
      <c r="A63" s="25"/>
      <c r="B63" s="68" t="s">
        <v>71</v>
      </c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3"/>
    </row>
    <row r="64" spans="1:16" ht="9.75" customHeight="1" x14ac:dyDescent="0.25">
      <c r="A64" s="25"/>
      <c r="B64" s="25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25"/>
    </row>
    <row r="65" spans="1:16" ht="9.75" customHeight="1" x14ac:dyDescent="0.3">
      <c r="A65" s="25"/>
      <c r="B65" s="18"/>
      <c r="C65" s="19"/>
      <c r="D65" s="19"/>
      <c r="E65" s="19"/>
      <c r="F65" s="20"/>
      <c r="G65" s="21"/>
      <c r="H65" s="21"/>
      <c r="I65" s="21"/>
      <c r="J65" s="21"/>
      <c r="K65" s="21"/>
      <c r="L65" s="21"/>
      <c r="M65" s="21"/>
      <c r="N65" s="21"/>
      <c r="O65" s="21"/>
      <c r="P65" s="22"/>
    </row>
    <row r="66" spans="1:16" ht="30" customHeight="1" x14ac:dyDescent="0.25">
      <c r="A66" s="25"/>
      <c r="B66" s="23"/>
      <c r="C66" s="43" t="s">
        <v>1</v>
      </c>
      <c r="D66" s="11"/>
      <c r="E66" s="72" t="s">
        <v>72</v>
      </c>
      <c r="F66" s="63"/>
      <c r="G66" s="11"/>
      <c r="H66" s="72" t="s">
        <v>11</v>
      </c>
      <c r="I66" s="63"/>
      <c r="J66" s="12"/>
      <c r="K66" s="12"/>
      <c r="L66" s="12"/>
      <c r="M66" s="12"/>
      <c r="N66" s="12"/>
      <c r="O66" s="12"/>
      <c r="P66" s="24"/>
    </row>
    <row r="67" spans="1:16" ht="30" customHeight="1" x14ac:dyDescent="0.25">
      <c r="A67" s="25"/>
      <c r="B67" s="23"/>
      <c r="C67" s="44" t="s">
        <v>47</v>
      </c>
      <c r="D67" s="14"/>
      <c r="E67" s="48" t="str">
        <f>VLOOKUP(C10,'Formato descripción HU'!B6:O21,5,0)</f>
        <v>Cliente</v>
      </c>
      <c r="F67" s="63"/>
      <c r="G67" s="15"/>
      <c r="H67" s="62" t="str">
        <f>VLOOKUP(C10,'Formato descripción HU'!B6:O21,11,0)</f>
        <v>Pendiente</v>
      </c>
      <c r="I67" s="63"/>
      <c r="J67" s="15"/>
      <c r="K67" s="12"/>
      <c r="L67" s="12"/>
      <c r="M67" s="12"/>
      <c r="N67" s="12"/>
      <c r="O67" s="12"/>
      <c r="P67" s="24"/>
    </row>
    <row r="68" spans="1:16" ht="9.75" customHeight="1" x14ac:dyDescent="0.25">
      <c r="A68" s="25"/>
      <c r="B68" s="23"/>
      <c r="C68" s="45"/>
      <c r="D68" s="14"/>
      <c r="E68" s="17"/>
      <c r="F68" s="17"/>
      <c r="G68" s="15"/>
      <c r="H68" s="17"/>
      <c r="I68" s="17"/>
      <c r="J68" s="15"/>
      <c r="K68" s="17"/>
      <c r="L68" s="17"/>
      <c r="M68" s="12"/>
      <c r="N68" s="17"/>
      <c r="O68" s="17"/>
      <c r="P68" s="24"/>
    </row>
    <row r="69" spans="1:16" ht="30" customHeight="1" x14ac:dyDescent="0.25">
      <c r="A69" s="25"/>
      <c r="B69" s="23"/>
      <c r="C69" s="43" t="s">
        <v>73</v>
      </c>
      <c r="D69" s="14"/>
      <c r="E69" s="72" t="s">
        <v>10</v>
      </c>
      <c r="F69" s="63"/>
      <c r="G69" s="15"/>
      <c r="H69" s="72" t="s">
        <v>74</v>
      </c>
      <c r="I69" s="63"/>
      <c r="J69" s="15"/>
      <c r="K69" s="17"/>
      <c r="L69" s="17"/>
      <c r="M69" s="12"/>
      <c r="N69" s="17"/>
      <c r="O69" s="17"/>
      <c r="P69" s="24"/>
    </row>
    <row r="70" spans="1:16" ht="30" customHeight="1" x14ac:dyDescent="0.25">
      <c r="A70" s="25"/>
      <c r="B70" s="23"/>
      <c r="C70" s="44">
        <f>VLOOKUP('Historia de Usuario'!C10,'Formato descripción HU'!B6:O21,8,0)</f>
        <v>6</v>
      </c>
      <c r="D70" s="14"/>
      <c r="E70" s="62" t="str">
        <f>VLOOKUP(C10,'Formato descripción HU'!B6:O21,10,0)</f>
        <v>Alta</v>
      </c>
      <c r="F70" s="63"/>
      <c r="G70" s="15"/>
      <c r="H70" s="62" t="str">
        <f>VLOOKUP(C10,'Formato descripción HU'!B6:O21,7,0)</f>
        <v>Anthony Guaycha</v>
      </c>
      <c r="I70" s="63"/>
      <c r="J70" s="15"/>
      <c r="K70" s="17"/>
      <c r="L70" s="17"/>
      <c r="M70" s="12"/>
      <c r="N70" s="17"/>
      <c r="O70" s="17"/>
      <c r="P70" s="24"/>
    </row>
    <row r="71" spans="1:16" ht="9.75" customHeight="1" x14ac:dyDescent="0.25">
      <c r="A71" s="25"/>
      <c r="B71" s="23"/>
      <c r="C71" s="12"/>
      <c r="D71" s="14"/>
      <c r="E71" s="12"/>
      <c r="F71" s="12"/>
      <c r="G71" s="15"/>
      <c r="H71" s="15"/>
      <c r="I71" s="12"/>
      <c r="J71" s="12"/>
      <c r="K71" s="12"/>
      <c r="L71" s="12"/>
      <c r="M71" s="12"/>
      <c r="N71" s="12"/>
      <c r="O71" s="12"/>
      <c r="P71" s="24"/>
    </row>
    <row r="72" spans="1:16" ht="19.5" customHeight="1" x14ac:dyDescent="0.25">
      <c r="A72" s="25"/>
      <c r="B72" s="23"/>
      <c r="C72" s="64" t="s">
        <v>75</v>
      </c>
      <c r="D72" s="48" t="str">
        <f>VLOOKUP(C10,'Formato descripción HU'!B6:O21,3,0)</f>
        <v>Permitir a los clientes realizar pedidos en línea.</v>
      </c>
      <c r="E72" s="50"/>
      <c r="F72" s="12"/>
      <c r="G72" s="64" t="s">
        <v>76</v>
      </c>
      <c r="H72" s="48" t="str">
        <f>VLOOKUP(C10,'Formato descripción HU'!B6:O21,4,0)</f>
        <v>Automatizar el proceso de ventas del producto MPG-CAPS.</v>
      </c>
      <c r="I72" s="49"/>
      <c r="J72" s="50"/>
      <c r="K72" s="12"/>
      <c r="L72" s="64" t="s">
        <v>77</v>
      </c>
      <c r="M72" s="71" t="str">
        <f>VLOOKUP(C10,'Formato descripción HU'!B6:O21,6,0)</f>
        <v>Registrar datos del cliente y generar pedidos automáticos desde la plataforma web.</v>
      </c>
      <c r="N72" s="49"/>
      <c r="O72" s="50"/>
      <c r="P72" s="24"/>
    </row>
    <row r="73" spans="1:16" ht="19.5" customHeight="1" x14ac:dyDescent="0.25">
      <c r="A73" s="25"/>
      <c r="B73" s="23"/>
      <c r="C73" s="65"/>
      <c r="D73" s="51"/>
      <c r="E73" s="52"/>
      <c r="F73" s="12"/>
      <c r="G73" s="65"/>
      <c r="H73" s="51"/>
      <c r="I73" s="47"/>
      <c r="J73" s="52"/>
      <c r="K73" s="12"/>
      <c r="L73" s="65"/>
      <c r="M73" s="51"/>
      <c r="N73" s="47"/>
      <c r="O73" s="52"/>
      <c r="P73" s="24"/>
    </row>
    <row r="74" spans="1:16" ht="19.5" customHeight="1" x14ac:dyDescent="0.25">
      <c r="A74" s="25"/>
      <c r="B74" s="23"/>
      <c r="C74" s="66"/>
      <c r="D74" s="53"/>
      <c r="E74" s="55"/>
      <c r="F74" s="12"/>
      <c r="G74" s="66"/>
      <c r="H74" s="53"/>
      <c r="I74" s="54"/>
      <c r="J74" s="55"/>
      <c r="K74" s="12"/>
      <c r="L74" s="66"/>
      <c r="M74" s="53"/>
      <c r="N74" s="54"/>
      <c r="O74" s="55"/>
      <c r="P74" s="24"/>
    </row>
    <row r="75" spans="1:16" ht="9.75" customHeight="1" x14ac:dyDescent="0.25">
      <c r="A75" s="25"/>
      <c r="B75" s="23"/>
      <c r="C75" s="12"/>
      <c r="D75" s="12"/>
      <c r="E75" s="12"/>
      <c r="F75" s="12"/>
      <c r="G75" s="15"/>
      <c r="H75" s="15"/>
      <c r="I75" s="15"/>
      <c r="J75" s="12"/>
      <c r="K75" s="12"/>
      <c r="L75" s="12"/>
      <c r="M75" s="12"/>
      <c r="N75" s="12"/>
      <c r="O75" s="12"/>
      <c r="P75" s="24"/>
    </row>
    <row r="76" spans="1:16" ht="19.5" customHeight="1" x14ac:dyDescent="0.25">
      <c r="A76" s="25"/>
      <c r="B76" s="23"/>
      <c r="C76" s="70" t="s">
        <v>78</v>
      </c>
      <c r="D76" s="50"/>
      <c r="E76" s="56" t="str">
        <f>VLOOKUP(C10,'Formato descripción HU'!B6:O20,14,0)</f>
        <v>Registro de pedidos en línea</v>
      </c>
      <c r="F76" s="57"/>
      <c r="G76" s="57"/>
      <c r="H76" s="57"/>
      <c r="I76" s="57"/>
      <c r="J76" s="57"/>
      <c r="K76" s="57"/>
      <c r="L76" s="57"/>
      <c r="M76" s="57"/>
      <c r="N76" s="57"/>
      <c r="O76" s="58"/>
      <c r="P76" s="24"/>
    </row>
    <row r="77" spans="1:16" ht="19.5" customHeight="1" x14ac:dyDescent="0.25">
      <c r="A77" s="25"/>
      <c r="B77" s="23"/>
      <c r="C77" s="53"/>
      <c r="D77" s="55"/>
      <c r="E77" s="59"/>
      <c r="F77" s="60"/>
      <c r="G77" s="60"/>
      <c r="H77" s="60"/>
      <c r="I77" s="60"/>
      <c r="J77" s="60"/>
      <c r="K77" s="60"/>
      <c r="L77" s="60"/>
      <c r="M77" s="60"/>
      <c r="N77" s="60"/>
      <c r="O77" s="61"/>
      <c r="P77" s="24"/>
    </row>
    <row r="78" spans="1:16" ht="9.75" customHeight="1" x14ac:dyDescent="0.25">
      <c r="A78" s="25"/>
      <c r="B78" s="23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24"/>
    </row>
    <row r="79" spans="1:16" ht="19.5" customHeight="1" x14ac:dyDescent="0.25">
      <c r="A79" s="25"/>
      <c r="B79" s="23"/>
      <c r="C79" s="72" t="s">
        <v>79</v>
      </c>
      <c r="D79" s="50"/>
      <c r="E79" s="48" t="str">
        <f>VLOOKUP(C10,'Formato descripción HU'!B6:O21,12,0)</f>
        <v>Verificar que el pedido quede registrado correctamente en la base de datos.</v>
      </c>
      <c r="F79" s="49"/>
      <c r="G79" s="49"/>
      <c r="H79" s="50"/>
      <c r="I79" s="12"/>
      <c r="J79" s="72" t="s">
        <v>13</v>
      </c>
      <c r="K79" s="50"/>
      <c r="L79" s="48" t="str">
        <f>VLOOKUP(C10,'Formato descripción HU'!B6:O21,13,0)</f>
        <v>Se debe validar información obligatoria.</v>
      </c>
      <c r="M79" s="49"/>
      <c r="N79" s="49"/>
      <c r="O79" s="50"/>
      <c r="P79" s="24"/>
    </row>
    <row r="80" spans="1:16" ht="19.5" customHeight="1" x14ac:dyDescent="0.25">
      <c r="A80" s="25"/>
      <c r="B80" s="23"/>
      <c r="C80" s="51"/>
      <c r="D80" s="52"/>
      <c r="E80" s="51"/>
      <c r="F80" s="47"/>
      <c r="G80" s="47"/>
      <c r="H80" s="52"/>
      <c r="I80" s="12"/>
      <c r="J80" s="51"/>
      <c r="K80" s="52"/>
      <c r="L80" s="51"/>
      <c r="M80" s="47"/>
      <c r="N80" s="47"/>
      <c r="O80" s="52"/>
      <c r="P80" s="24"/>
    </row>
    <row r="81" spans="1:16" ht="19.5" customHeight="1" x14ac:dyDescent="0.25">
      <c r="A81" s="25"/>
      <c r="B81" s="23"/>
      <c r="C81" s="53"/>
      <c r="D81" s="55"/>
      <c r="E81" s="53"/>
      <c r="F81" s="54"/>
      <c r="G81" s="54"/>
      <c r="H81" s="55"/>
      <c r="I81" s="12"/>
      <c r="J81" s="53"/>
      <c r="K81" s="55"/>
      <c r="L81" s="53"/>
      <c r="M81" s="54"/>
      <c r="N81" s="54"/>
      <c r="O81" s="55"/>
      <c r="P81" s="24"/>
    </row>
    <row r="82" spans="1:16" ht="39.75" customHeight="1" x14ac:dyDescent="0.25">
      <c r="A82" s="25"/>
      <c r="B82" s="68" t="s">
        <v>71</v>
      </c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3"/>
    </row>
    <row r="83" spans="1:16" ht="9.75" customHeight="1" x14ac:dyDescent="0.25">
      <c r="A83" s="25"/>
      <c r="B83" s="25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25"/>
    </row>
    <row r="84" spans="1:16" ht="9.75" customHeight="1" x14ac:dyDescent="0.3">
      <c r="A84" s="25"/>
      <c r="B84" s="18"/>
      <c r="C84" s="19"/>
      <c r="D84" s="19"/>
      <c r="E84" s="19"/>
      <c r="F84" s="20"/>
      <c r="G84" s="21"/>
      <c r="H84" s="21"/>
      <c r="I84" s="21"/>
      <c r="J84" s="21"/>
      <c r="K84" s="21"/>
      <c r="L84" s="21"/>
      <c r="M84" s="21"/>
      <c r="N84" s="21"/>
      <c r="O84" s="21"/>
      <c r="P84" s="22"/>
    </row>
    <row r="85" spans="1:16" ht="30" customHeight="1" x14ac:dyDescent="0.25">
      <c r="A85" s="25"/>
      <c r="B85" s="23"/>
      <c r="C85" s="43" t="s">
        <v>1</v>
      </c>
      <c r="D85" s="11"/>
      <c r="E85" s="72" t="s">
        <v>72</v>
      </c>
      <c r="F85" s="63"/>
      <c r="G85" s="11"/>
      <c r="H85" s="72" t="s">
        <v>11</v>
      </c>
      <c r="I85" s="63"/>
      <c r="J85" s="12"/>
      <c r="K85" s="12"/>
      <c r="L85" s="12"/>
      <c r="M85" s="12"/>
      <c r="N85" s="12"/>
      <c r="O85" s="12"/>
      <c r="P85" s="24"/>
    </row>
    <row r="86" spans="1:16" ht="30" customHeight="1" x14ac:dyDescent="0.25">
      <c r="A86" s="25"/>
      <c r="B86" s="23"/>
      <c r="C86" s="44" t="s">
        <v>56</v>
      </c>
      <c r="D86" s="14"/>
      <c r="E86" s="48" t="str">
        <f>VLOOKUP(C10,'Formato descripción HU'!B6:O21,5,0)</f>
        <v>Cliente</v>
      </c>
      <c r="F86" s="63"/>
      <c r="G86" s="15"/>
      <c r="H86" s="62" t="str">
        <f>VLOOKUP(C10,'Formato descripción HU'!B6:O21,11,0)</f>
        <v>Pendiente</v>
      </c>
      <c r="I86" s="63"/>
      <c r="J86" s="15"/>
      <c r="K86" s="12"/>
      <c r="L86" s="12"/>
      <c r="M86" s="12"/>
      <c r="N86" s="12"/>
      <c r="O86" s="12"/>
      <c r="P86" s="24"/>
    </row>
    <row r="87" spans="1:16" ht="9.75" customHeight="1" x14ac:dyDescent="0.25">
      <c r="A87" s="25"/>
      <c r="B87" s="23"/>
      <c r="C87" s="45"/>
      <c r="D87" s="14"/>
      <c r="E87" s="17"/>
      <c r="F87" s="17"/>
      <c r="G87" s="15"/>
      <c r="H87" s="17"/>
      <c r="I87" s="17"/>
      <c r="J87" s="15"/>
      <c r="K87" s="17"/>
      <c r="L87" s="17"/>
      <c r="M87" s="12"/>
      <c r="N87" s="17"/>
      <c r="O87" s="17"/>
      <c r="P87" s="24"/>
    </row>
    <row r="88" spans="1:16" ht="30" customHeight="1" x14ac:dyDescent="0.25">
      <c r="A88" s="25"/>
      <c r="B88" s="23"/>
      <c r="C88" s="43" t="s">
        <v>73</v>
      </c>
      <c r="D88" s="14"/>
      <c r="E88" s="72" t="s">
        <v>10</v>
      </c>
      <c r="F88" s="63"/>
      <c r="G88" s="15"/>
      <c r="H88" s="72" t="s">
        <v>74</v>
      </c>
      <c r="I88" s="63"/>
      <c r="J88" s="15"/>
      <c r="K88" s="17"/>
      <c r="L88" s="17"/>
      <c r="M88" s="12"/>
      <c r="N88" s="17"/>
      <c r="O88" s="17"/>
      <c r="P88" s="24"/>
    </row>
    <row r="89" spans="1:16" ht="30" customHeight="1" x14ac:dyDescent="0.25">
      <c r="A89" s="25"/>
      <c r="B89" s="23"/>
      <c r="C89" s="44">
        <f>VLOOKUP('Historia de Usuario'!C10,'Formato descripción HU'!B6:O21,8,0)</f>
        <v>6</v>
      </c>
      <c r="D89" s="14"/>
      <c r="E89" s="62" t="str">
        <f>VLOOKUP(C10,'Formato descripción HU'!B6:O21,10,0)</f>
        <v>Alta</v>
      </c>
      <c r="F89" s="63"/>
      <c r="G89" s="15"/>
      <c r="H89" s="62" t="str">
        <f>VLOOKUP(C10,'Formato descripción HU'!B6:O21,7,0)</f>
        <v>Anthony Guaycha</v>
      </c>
      <c r="I89" s="63"/>
      <c r="J89" s="15"/>
      <c r="K89" s="17"/>
      <c r="L89" s="17"/>
      <c r="M89" s="12"/>
      <c r="N89" s="17"/>
      <c r="O89" s="17"/>
      <c r="P89" s="24"/>
    </row>
    <row r="90" spans="1:16" ht="9.75" customHeight="1" x14ac:dyDescent="0.25">
      <c r="A90" s="25"/>
      <c r="B90" s="23"/>
      <c r="C90" s="12"/>
      <c r="D90" s="14"/>
      <c r="E90" s="12"/>
      <c r="F90" s="12"/>
      <c r="G90" s="15"/>
      <c r="H90" s="15"/>
      <c r="I90" s="12"/>
      <c r="J90" s="12"/>
      <c r="K90" s="12"/>
      <c r="L90" s="12"/>
      <c r="M90" s="12"/>
      <c r="N90" s="12"/>
      <c r="O90" s="12"/>
      <c r="P90" s="24"/>
    </row>
    <row r="91" spans="1:16" ht="19.5" customHeight="1" x14ac:dyDescent="0.25">
      <c r="A91" s="25"/>
      <c r="B91" s="23"/>
      <c r="C91" s="64" t="s">
        <v>75</v>
      </c>
      <c r="D91" s="48" t="str">
        <f>VLOOKUP(C10,'Formato descripción HU'!B6:O21,3,0)</f>
        <v>Permitir a los clientes realizar pedidos en línea.</v>
      </c>
      <c r="E91" s="50"/>
      <c r="F91" s="12"/>
      <c r="G91" s="64" t="s">
        <v>76</v>
      </c>
      <c r="H91" s="48" t="str">
        <f>VLOOKUP(C10,'Formato descripción HU'!B6:O21,4,0)</f>
        <v>Automatizar el proceso de ventas del producto MPG-CAPS.</v>
      </c>
      <c r="I91" s="49"/>
      <c r="J91" s="50"/>
      <c r="K91" s="12"/>
      <c r="L91" s="64" t="s">
        <v>77</v>
      </c>
      <c r="M91" s="71" t="str">
        <f>VLOOKUP(C10,'Formato descripción HU'!B6:O21,6,0)</f>
        <v>Registrar datos del cliente y generar pedidos automáticos desde la plataforma web.</v>
      </c>
      <c r="N91" s="49"/>
      <c r="O91" s="50"/>
      <c r="P91" s="24"/>
    </row>
    <row r="92" spans="1:16" ht="19.5" customHeight="1" x14ac:dyDescent="0.25">
      <c r="A92" s="25"/>
      <c r="B92" s="23"/>
      <c r="C92" s="65"/>
      <c r="D92" s="51"/>
      <c r="E92" s="52"/>
      <c r="F92" s="12"/>
      <c r="G92" s="65"/>
      <c r="H92" s="51"/>
      <c r="I92" s="47"/>
      <c r="J92" s="52"/>
      <c r="K92" s="12"/>
      <c r="L92" s="65"/>
      <c r="M92" s="51"/>
      <c r="N92" s="47"/>
      <c r="O92" s="52"/>
      <c r="P92" s="24"/>
    </row>
    <row r="93" spans="1:16" ht="19.5" customHeight="1" x14ac:dyDescent="0.25">
      <c r="A93" s="25"/>
      <c r="B93" s="23"/>
      <c r="C93" s="66"/>
      <c r="D93" s="53"/>
      <c r="E93" s="55"/>
      <c r="F93" s="12"/>
      <c r="G93" s="66"/>
      <c r="H93" s="53"/>
      <c r="I93" s="54"/>
      <c r="J93" s="55"/>
      <c r="K93" s="12"/>
      <c r="L93" s="66"/>
      <c r="M93" s="53"/>
      <c r="N93" s="54"/>
      <c r="O93" s="55"/>
      <c r="P93" s="24"/>
    </row>
    <row r="94" spans="1:16" ht="9.75" customHeight="1" x14ac:dyDescent="0.25">
      <c r="A94" s="25"/>
      <c r="B94" s="23"/>
      <c r="C94" s="12"/>
      <c r="D94" s="12"/>
      <c r="E94" s="12"/>
      <c r="F94" s="12"/>
      <c r="G94" s="15"/>
      <c r="H94" s="15"/>
      <c r="I94" s="15"/>
      <c r="J94" s="12"/>
      <c r="K94" s="12"/>
      <c r="L94" s="12"/>
      <c r="M94" s="12"/>
      <c r="N94" s="12"/>
      <c r="O94" s="12"/>
      <c r="P94" s="24"/>
    </row>
    <row r="95" spans="1:16" ht="19.5" customHeight="1" x14ac:dyDescent="0.25">
      <c r="A95" s="25"/>
      <c r="B95" s="23"/>
      <c r="C95" s="70" t="s">
        <v>78</v>
      </c>
      <c r="D95" s="50"/>
      <c r="E95" s="56" t="str">
        <f>VLOOKUP(C10,'Formato descripción HU'!B6:O20,14,0)</f>
        <v>Registro de pedidos en línea</v>
      </c>
      <c r="F95" s="57"/>
      <c r="G95" s="57"/>
      <c r="H95" s="57"/>
      <c r="I95" s="57"/>
      <c r="J95" s="57"/>
      <c r="K95" s="57"/>
      <c r="L95" s="57"/>
      <c r="M95" s="57"/>
      <c r="N95" s="57"/>
      <c r="O95" s="58"/>
      <c r="P95" s="24"/>
    </row>
    <row r="96" spans="1:16" ht="19.5" customHeight="1" x14ac:dyDescent="0.25">
      <c r="A96" s="25"/>
      <c r="B96" s="23"/>
      <c r="C96" s="53"/>
      <c r="D96" s="55"/>
      <c r="E96" s="59"/>
      <c r="F96" s="60"/>
      <c r="G96" s="60"/>
      <c r="H96" s="60"/>
      <c r="I96" s="60"/>
      <c r="J96" s="60"/>
      <c r="K96" s="60"/>
      <c r="L96" s="60"/>
      <c r="M96" s="60"/>
      <c r="N96" s="60"/>
      <c r="O96" s="61"/>
      <c r="P96" s="24"/>
    </row>
    <row r="97" spans="1:16" ht="9.75" customHeight="1" x14ac:dyDescent="0.25">
      <c r="A97" s="25"/>
      <c r="B97" s="23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24"/>
    </row>
    <row r="98" spans="1:16" ht="19.5" customHeight="1" x14ac:dyDescent="0.25">
      <c r="A98" s="25"/>
      <c r="B98" s="23"/>
      <c r="C98" s="72" t="s">
        <v>79</v>
      </c>
      <c r="D98" s="50"/>
      <c r="E98" s="48" t="str">
        <f>VLOOKUP(C10,'Formato descripción HU'!B6:O21,12,0)</f>
        <v>Verificar que el pedido quede registrado correctamente en la base de datos.</v>
      </c>
      <c r="F98" s="49"/>
      <c r="G98" s="49"/>
      <c r="H98" s="50"/>
      <c r="I98" s="12"/>
      <c r="J98" s="72" t="s">
        <v>13</v>
      </c>
      <c r="K98" s="50"/>
      <c r="L98" s="48" t="str">
        <f>VLOOKUP(C10,'Formato descripción HU'!B6:O21,13,0)</f>
        <v>Se debe validar información obligatoria.</v>
      </c>
      <c r="M98" s="49"/>
      <c r="N98" s="49"/>
      <c r="O98" s="50"/>
      <c r="P98" s="24"/>
    </row>
    <row r="99" spans="1:16" ht="19.5" customHeight="1" x14ac:dyDescent="0.25">
      <c r="A99" s="25"/>
      <c r="B99" s="23"/>
      <c r="C99" s="51"/>
      <c r="D99" s="52"/>
      <c r="E99" s="51"/>
      <c r="F99" s="47"/>
      <c r="G99" s="47"/>
      <c r="H99" s="52"/>
      <c r="I99" s="12"/>
      <c r="J99" s="51"/>
      <c r="K99" s="52"/>
      <c r="L99" s="51"/>
      <c r="M99" s="47"/>
      <c r="N99" s="47"/>
      <c r="O99" s="52"/>
      <c r="P99" s="24"/>
    </row>
    <row r="100" spans="1:16" ht="19.5" customHeight="1" x14ac:dyDescent="0.25">
      <c r="A100" s="25"/>
      <c r="B100" s="23"/>
      <c r="C100" s="53"/>
      <c r="D100" s="55"/>
      <c r="E100" s="53"/>
      <c r="F100" s="54"/>
      <c r="G100" s="54"/>
      <c r="H100" s="55"/>
      <c r="I100" s="12"/>
      <c r="J100" s="53"/>
      <c r="K100" s="55"/>
      <c r="L100" s="53"/>
      <c r="M100" s="54"/>
      <c r="N100" s="54"/>
      <c r="O100" s="55"/>
      <c r="P100" s="24"/>
    </row>
    <row r="101" spans="1:16" ht="15.75" customHeight="1" x14ac:dyDescent="0.25"/>
    <row r="102" spans="1:16" ht="15.75" customHeight="1" x14ac:dyDescent="0.25"/>
    <row r="103" spans="1:16" ht="15.75" customHeight="1" x14ac:dyDescent="0.25"/>
    <row r="104" spans="1:16" ht="15.75" customHeight="1" x14ac:dyDescent="0.25"/>
    <row r="105" spans="1:16" ht="15.75" customHeight="1" x14ac:dyDescent="0.25"/>
    <row r="106" spans="1:16" ht="15.75" customHeight="1" x14ac:dyDescent="0.25"/>
    <row r="107" spans="1:16" ht="15.75" customHeight="1" x14ac:dyDescent="0.25"/>
    <row r="108" spans="1:16" ht="15.75" customHeight="1" x14ac:dyDescent="0.25"/>
    <row r="109" spans="1:16" ht="15.75" customHeight="1" x14ac:dyDescent="0.25"/>
    <row r="110" spans="1:16" ht="15.75" customHeight="1" x14ac:dyDescent="0.25"/>
    <row r="111" spans="1:16" ht="15.75" customHeight="1" x14ac:dyDescent="0.25"/>
    <row r="112" spans="1:1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105">
    <mergeCell ref="B6:P6"/>
    <mergeCell ref="H32:I32"/>
    <mergeCell ref="M53:O55"/>
    <mergeCell ref="E60:H62"/>
    <mergeCell ref="H47:I47"/>
    <mergeCell ref="J79:K81"/>
    <mergeCell ref="M34:O36"/>
    <mergeCell ref="E47:F47"/>
    <mergeCell ref="E76:O77"/>
    <mergeCell ref="H72:J74"/>
    <mergeCell ref="E10:F10"/>
    <mergeCell ref="G91:G93"/>
    <mergeCell ref="H51:I51"/>
    <mergeCell ref="C19:D20"/>
    <mergeCell ref="E28:F28"/>
    <mergeCell ref="C41:D43"/>
    <mergeCell ref="E9:F9"/>
    <mergeCell ref="H88:I88"/>
    <mergeCell ref="H70:I70"/>
    <mergeCell ref="E13:F13"/>
    <mergeCell ref="E69:F69"/>
    <mergeCell ref="J98:K100"/>
    <mergeCell ref="E31:F31"/>
    <mergeCell ref="E86:F86"/>
    <mergeCell ref="L91:L93"/>
    <mergeCell ref="C22:D24"/>
    <mergeCell ref="E89:F89"/>
    <mergeCell ref="J41:K43"/>
    <mergeCell ref="H15:J17"/>
    <mergeCell ref="H66:I66"/>
    <mergeCell ref="E70:F70"/>
    <mergeCell ref="E32:F32"/>
    <mergeCell ref="H86:I86"/>
    <mergeCell ref="H53:J55"/>
    <mergeCell ref="G15:G17"/>
    <mergeCell ref="L60:O62"/>
    <mergeCell ref="H67:I67"/>
    <mergeCell ref="H29:I29"/>
    <mergeCell ref="J60:K62"/>
    <mergeCell ref="C76:D77"/>
    <mergeCell ref="C98:D100"/>
    <mergeCell ref="C91:C93"/>
    <mergeCell ref="E88:F88"/>
    <mergeCell ref="E66:F66"/>
    <mergeCell ref="H34:J36"/>
    <mergeCell ref="E50:F50"/>
    <mergeCell ref="C72:C74"/>
    <mergeCell ref="H31:I31"/>
    <mergeCell ref="L72:L74"/>
    <mergeCell ref="E41:H43"/>
    <mergeCell ref="L22:O24"/>
    <mergeCell ref="C53:C55"/>
    <mergeCell ref="E29:F29"/>
    <mergeCell ref="C34:C36"/>
    <mergeCell ref="M72:O74"/>
    <mergeCell ref="B44:P44"/>
    <mergeCell ref="C57:D58"/>
    <mergeCell ref="E98:H100"/>
    <mergeCell ref="H13:I13"/>
    <mergeCell ref="D72:E74"/>
    <mergeCell ref="E79:H81"/>
    <mergeCell ref="E85:F85"/>
    <mergeCell ref="G53:G55"/>
    <mergeCell ref="L15:L17"/>
    <mergeCell ref="G34:G36"/>
    <mergeCell ref="E12:F12"/>
    <mergeCell ref="E67:F67"/>
    <mergeCell ref="H50:I50"/>
    <mergeCell ref="E48:F48"/>
    <mergeCell ref="D34:E36"/>
    <mergeCell ref="G72:G74"/>
    <mergeCell ref="H85:I85"/>
    <mergeCell ref="L98:O100"/>
    <mergeCell ref="H69:I69"/>
    <mergeCell ref="D91:E93"/>
    <mergeCell ref="L53:L55"/>
    <mergeCell ref="B63:P63"/>
    <mergeCell ref="D53:E55"/>
    <mergeCell ref="H28:I28"/>
    <mergeCell ref="H91:J93"/>
    <mergeCell ref="H12:I12"/>
    <mergeCell ref="L79:O81"/>
    <mergeCell ref="E38:O39"/>
    <mergeCell ref="H10:I10"/>
    <mergeCell ref="L34:L36"/>
    <mergeCell ref="L41:O43"/>
    <mergeCell ref="H9:I9"/>
    <mergeCell ref="B82:P82"/>
    <mergeCell ref="C95:D96"/>
    <mergeCell ref="M15:O17"/>
    <mergeCell ref="E22:H24"/>
    <mergeCell ref="E51:F51"/>
    <mergeCell ref="E95:O96"/>
    <mergeCell ref="C79:D81"/>
    <mergeCell ref="H89:I89"/>
    <mergeCell ref="E57:O58"/>
    <mergeCell ref="C38:D39"/>
    <mergeCell ref="C60:D62"/>
    <mergeCell ref="D15:E17"/>
    <mergeCell ref="M91:O93"/>
    <mergeCell ref="C15:C17"/>
    <mergeCell ref="B25:P25"/>
    <mergeCell ref="H48:I48"/>
    <mergeCell ref="J22:K24"/>
    <mergeCell ref="E19:O20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</dc:creator>
  <cp:lastModifiedBy>Edmir Madrid</cp:lastModifiedBy>
  <cp:lastPrinted>2022-11-25T05:25:55Z</cp:lastPrinted>
  <dcterms:created xsi:type="dcterms:W3CDTF">2019-10-21T15:37:14Z</dcterms:created>
  <dcterms:modified xsi:type="dcterms:W3CDTF">2026-05-11T19:15:35Z</dcterms:modified>
</cp:coreProperties>
</file>